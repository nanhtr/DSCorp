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uc_luc" sheetId="1" state="visible" r:id="rId3"/>
    <sheet name="D2_Test_dinh_vi" sheetId="2" state="visible" r:id="rId4"/>
    <sheet name="D3_Bias_audit" sheetId="3" state="visible" r:id="rId5"/>
    <sheet name="D3_Thi_nghiem" sheetId="4" state="visible" r:id="rId6"/>
    <sheet name="D4_WTP" sheetId="5" state="visible" r:id="rId7"/>
    <sheet name="D4_Gia_tham_chieu" sheetId="6" state="visible" r:id="rId8"/>
    <sheet name="D4_Unit_economics" sheetId="7" state="visible" r:id="rId9"/>
    <sheet name="D5_CEP" sheetId="8" state="visible" r:id="rId10"/>
    <sheet name="D5_Asset_survey" sheetId="9" state="visible" r:id="rId11"/>
    <sheet name="D6_Hook_bank" sheetId="10" state="visible" r:id="rId12"/>
    <sheet name="D6_Creative_log" sheetId="11" state="visible" r:id="rId13"/>
    <sheet name="D7_Ngan_sach" sheetId="12" state="visible" r:id="rId14"/>
    <sheet name="D8_Dashboard" sheetId="13" state="visible" r:id="rId15"/>
    <sheet name="D8_Backlog" sheetId="14" state="visible" r:id="rId16"/>
    <sheet name="D10_Evidence_log" sheetId="15" state="visible" r:id="rId17"/>
    <sheet name="_lists" sheetId="16" state="hidden" r:id="rId1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<sst xmlns="http://schemas.openxmlformats.org/spreadsheetml/2006/main" count="637" uniqueCount="466">
  <si>
    <t xml:space="preserve">Bộ công cụ Đợt 2–10 · Dosie's Care</t>
  </si>
  <si>
    <t xml:space="preserve">Ô vàng = nhập dữ liệu thật. Ô trắng = công thức. Không có số liệu thị trường nào bị bịa; các số ở D4_Unit_economics là ví dụ minh họa.</t>
  </si>
  <si>
    <t xml:space="preserve">D2_Test_dinh_vi</t>
  </si>
  <si>
    <t xml:space="preserve">Đợt 2 · Test 3 giả thuyết định vị</t>
  </si>
  <si>
    <t xml:space="preserve">D3_Bias_audit</t>
  </si>
  <si>
    <t xml:space="preserve">Đợt 3 · Audit 20 video TikTok ngành tóc</t>
  </si>
  <si>
    <t xml:space="preserve">D3_Thi_nghiem</t>
  </si>
  <si>
    <t xml:space="preserve">Đợt 3 · 5 thí nghiệm hành vi</t>
  </si>
  <si>
    <t xml:space="preserve">D4_WTP</t>
  </si>
  <si>
    <t xml:space="preserve">Đợt 4 · Khảo sát giá (Van Westendorp + Gabor-Granger)</t>
  </si>
  <si>
    <t xml:space="preserve">D4_Gia_tham_chieu</t>
  </si>
  <si>
    <t xml:space="preserve">Đợt 4 · Giá/ml của 10 sản phẩm thay thế</t>
  </si>
  <si>
    <t xml:space="preserve">D4_Unit_economics</t>
  </si>
  <si>
    <t xml:space="preserve">Đợt 4 · Unit economics mỗi đơn</t>
  </si>
  <si>
    <t xml:space="preserve">D5_CEP</t>
  </si>
  <si>
    <t xml:space="preserve">Đợt 5 · Category Entry Point Map</t>
  </si>
  <si>
    <t xml:space="preserve">D5_Asset_survey</t>
  </si>
  <si>
    <t xml:space="preserve">Đợt 5 · Fame × Uniqueness (khảo sát che tên ≥50 người)</t>
  </si>
  <si>
    <t xml:space="preserve">D6_Hook_bank</t>
  </si>
  <si>
    <t xml:space="preserve">Đợt 6 · Hook bank 30 câu (đã qua Claim Library)</t>
  </si>
  <si>
    <t xml:space="preserve">D6_Creative_log</t>
  </si>
  <si>
    <t xml:space="preserve">Đợt 6 · Creative Testing Log</t>
  </si>
  <si>
    <t xml:space="preserve">D7_Ngan_sach</t>
  </si>
  <si>
    <t xml:space="preserve">Đợt 7 · Phân bổ ngân sách theo giai đoạn</t>
  </si>
  <si>
    <t xml:space="preserve">D8_Dashboard</t>
  </si>
  <si>
    <t xml:space="preserve">Đợt 8 · Dashboard tuần (North Star: khách mua lần 2 trong 60 ngày)</t>
  </si>
  <si>
    <t xml:space="preserve">D8_Backlog</t>
  </si>
  <si>
    <t xml:space="preserve">Đợt 8 · Experiment Backlog (ICE)</t>
  </si>
  <si>
    <t xml:space="preserve">D10_Evidence_log</t>
  </si>
  <si>
    <t xml:space="preserve">Đợt 10 · Evidence Log</t>
  </si>
  <si>
    <t xml:space="preserve">Ô vàng = nhập số/dữ liệu thật. Ô trắng có công thức, không sửa. Mỗi giả thuyết chạy ≥2 video cùng format, cùng khung giờ.</t>
  </si>
  <si>
    <t xml:space="preserve">Giả thuyết</t>
  </si>
  <si>
    <t xml:space="preserve">Câu định vị</t>
  </si>
  <si>
    <t xml:space="preserve">Hook test</t>
  </si>
  <si>
    <t xml:space="preserve">Link video</t>
  </si>
  <si>
    <t xml:space="preserve">Lượt xem</t>
  </si>
  <si>
    <t xml:space="preserve">Xem 3s (%)</t>
  </si>
  <si>
    <t xml:space="preserve">Lượt lưu</t>
  </si>
  <si>
    <t xml:space="preserve">Comment</t>
  </si>
  <si>
    <t xml:space="preserve">Share</t>
  </si>
  <si>
    <t xml:space="preserve">Tỷ lệ lưu/xem</t>
  </si>
  <si>
    <t xml:space="preserve">Comment hỏi mua</t>
  </si>
  <si>
    <t xml:space="preserve">Ghi chú</t>
  </si>
  <si>
    <t xml:space="preserve">P1 · Trước gội, không bết</t>
  </si>
  <si>
    <t xml:space="preserve">Bôi trước khi tắm, gội là sạch, da đầu nhẹ tênh.</t>
  </si>
  <si>
    <t xml:space="preserve">"Ủ tóc mà sợ bết? Lỗi nằm ở bước gội, không phải ở việc ủ."</t>
  </si>
  <si>
    <t xml:space="preserve">P2 · Skincare cho da đầu</t>
  </si>
  <si>
    <t xml:space="preserve">Chăm da đầu như chăm da mặt: thêm một bước trước khi gội.</t>
  </si>
  <si>
    <t xml:space="preserve">"Mặt bạn được rửa 2 bước, còn da đầu thì sao?"</t>
  </si>
  <si>
    <t xml:space="preserve">P3 · 15 phút cho mình</t>
  </si>
  <si>
    <t xml:space="preserve">15 phút trước giờ tắm, cho tóc và cho chính mình.</t>
  </si>
  <si>
    <t xml:space="preserve">"Đây là 15 phút duy nhất trong ngày mình không cầm điện thoại."</t>
  </si>
  <si>
    <t xml:space="preserve">Tổng hợp theo giả thuyết</t>
  </si>
  <si>
    <t xml:space="preserve">Tổng xem</t>
  </si>
  <si>
    <t xml:space="preserve">Tổng lưu</t>
  </si>
  <si>
    <t xml:space="preserve">Lưu/xem</t>
  </si>
  <si>
    <t xml:space="preserve">Chấm từng video: bias nào được kích hoạt, claim có an toàn không, học được gì.</t>
  </si>
  <si>
    <t xml:space="preserve">#</t>
  </si>
  <si>
    <t xml:space="preserve">Thương hiệu/kênh</t>
  </si>
  <si>
    <t xml:space="preserve">Hook 3 giây đầu</t>
  </si>
  <si>
    <t xml:space="preserve">Bias chính</t>
  </si>
  <si>
    <t xml:space="preserve">Bias phụ</t>
  </si>
  <si>
    <t xml:space="preserve">Claim an toàn?</t>
  </si>
  <si>
    <t xml:space="preserve">Bài học cho DS</t>
  </si>
  <si>
    <t xml:space="preserve">Đếm theo bias</t>
  </si>
  <si>
    <t xml:space="preserve">Social proof</t>
  </si>
  <si>
    <t xml:space="preserve">Authority</t>
  </si>
  <si>
    <t xml:space="preserve">Reciprocity</t>
  </si>
  <si>
    <t xml:space="preserve">Commitment</t>
  </si>
  <si>
    <t xml:space="preserve">Anchoring</t>
  </si>
  <si>
    <t xml:space="preserve">Decoy</t>
  </si>
  <si>
    <t xml:space="preserve">Loss aversion</t>
  </si>
  <si>
    <t xml:space="preserve">Framing</t>
  </si>
  <si>
    <t xml:space="preserve">Specificity</t>
  </si>
  <si>
    <t xml:space="preserve">Pratfall effect</t>
  </si>
  <si>
    <t xml:space="preserve">Labor illusion</t>
  </si>
  <si>
    <t xml:space="preserve">Peak-end rule</t>
  </si>
  <si>
    <t xml:space="preserve">Habit cue</t>
  </si>
  <si>
    <t xml:space="preserve">Default effect</t>
  </si>
  <si>
    <t xml:space="preserve">Distinctiveness</t>
  </si>
  <si>
    <t xml:space="preserve">Price-quality heuristic</t>
  </si>
  <si>
    <t xml:space="preserve">Availability</t>
  </si>
  <si>
    <t xml:space="preserve">Endowment</t>
  </si>
  <si>
    <t xml:space="preserve">Goal-gradient</t>
  </si>
  <si>
    <t xml:space="preserve">Zeigarnik (vòng mở)</t>
  </si>
  <si>
    <t xml:space="preserve">Ô vàng = nhập số/dữ liệu thật. Ô trắng có công thức, không sửa.</t>
  </si>
  <si>
    <t xml:space="preserve">Biến thể</t>
  </si>
  <si>
    <t xml:space="preserve">Chỉ số</t>
  </si>
  <si>
    <t xml:space="preserve">Quy tắc quyết định</t>
  </si>
  <si>
    <t xml:space="preserve">Kết quả A</t>
  </si>
  <si>
    <t xml:space="preserve">Kết quả B</t>
  </si>
  <si>
    <t xml:space="preserve">Chênh lệch B so với A</t>
  </si>
  <si>
    <t xml:space="preserve">Quyết định</t>
  </si>
  <si>
    <t xml:space="preserve">Ngày chạy</t>
  </si>
  <si>
    <t xml:space="preserve">E1 · Framing thời gian</t>
  </si>
  <si>
    <t xml:space="preserve">"15 phút cho mình" tốt hơn "thêm một bước chăm tóc"</t>
  </si>
  <si>
    <t xml:space="preserve">2 caption, cùng video</t>
  </si>
  <si>
    <t xml:space="preserve">Tỷ lệ lưu, comment</t>
  </si>
  <si>
    <t xml:space="preserve">Chênh ≥20% thì chọn</t>
  </si>
  <si>
    <t xml:space="preserve">E2 · Anchor giá/lần</t>
  </si>
  <si>
    <t xml:space="preserve">Hiển thị "~x nghìn/lần dùng" tăng CTR giỏ</t>
  </si>
  <si>
    <t xml:space="preserve">Listing có và không có dòng giá/lần</t>
  </si>
  <si>
    <t xml:space="preserve">CTR, CR trang sản phẩm</t>
  </si>
  <si>
    <t xml:space="preserve">Chênh ≥10% sau ≥500 lượt xem mỗi bản</t>
  </si>
  <si>
    <t xml:space="preserve">E3 · Social proof cụ thể</t>
  </si>
  <si>
    <t xml:space="preserve">"[x] người đã hoàn thành 14 ngày" tốt hơn "Sản phẩm bán chạy"</t>
  </si>
  <si>
    <t xml:space="preserve">2 banner trong live</t>
  </si>
  <si>
    <t xml:space="preserve">Click ghim sản phẩm</t>
  </si>
  <si>
    <t xml:space="preserve">Chênh ≥15%</t>
  </si>
  <si>
    <t xml:space="preserve">E4 · Pratfall</t>
  </si>
  <si>
    <t xml:space="preserve">"Chúng mình không hứa mọc tóc" tăng niềm tin và CR</t>
  </si>
  <si>
    <t xml:space="preserve">Video có và không có câu này</t>
  </si>
  <si>
    <t xml:space="preserve">Comment tích cực, CR</t>
  </si>
  <si>
    <t xml:space="preserve">Không giảm CR và tăng comment tích cực thì giữ</t>
  </si>
  <si>
    <t xml:space="preserve">E5 · Default bộ đôi</t>
  </si>
  <si>
    <t xml:space="preserve">Gợi ý mặc định bộ đôi tăng AOV</t>
  </si>
  <si>
    <t xml:space="preserve">Có và không có gợi ý bộ đôi</t>
  </si>
  <si>
    <t xml:space="preserve">AOV, tỷ lệ bỏ giỏ</t>
  </si>
  <si>
    <t xml:space="preserve">AOV tăng ≥10% mà bỏ giỏ không tăng</t>
  </si>
  <si>
    <t xml:space="preserve">Mỗi dòng = 1 người trả lời (≥100). Giá nhập bằng nghìn đồng cho 1 chai chuẩn. Gabor-Granger: 1 = có mua, 0 = không.</t>
  </si>
  <si>
    <t xml:space="preserve">Quá rẻ (nghi ngờ chất lượng)</t>
  </si>
  <si>
    <t xml:space="preserve">Rẻ (hời)</t>
  </si>
  <si>
    <t xml:space="preserve">Bắt đầu đắt (vẫn cân nhắc)</t>
  </si>
  <si>
    <t xml:space="preserve">Quá đắt (không mua)</t>
  </si>
  <si>
    <t xml:space="preserve">Mua ở giá P1?</t>
  </si>
  <si>
    <t xml:space="preserve">Mua ở giá P2?</t>
  </si>
  <si>
    <t xml:space="preserve">Mua ở giá P3?</t>
  </si>
  <si>
    <t xml:space="preserve">Mua ở giá P4?</t>
  </si>
  <si>
    <t xml:space="preserve">Hợp lệ?</t>
  </si>
  <si>
    <t xml:space="preserve">Mức giá Gabor-Granger (nghìn đ)</t>
  </si>
  <si>
    <t xml:space="preserve">Giá</t>
  </si>
  <si>
    <t xml:space="preserve">% mua</t>
  </si>
  <si>
    <t xml:space="preserve">Doanh thu kỳ vọng / người</t>
  </si>
  <si>
    <t xml:space="preserve">P1</t>
  </si>
  <si>
    <t xml:space="preserve">P2</t>
  </si>
  <si>
    <t xml:space="preserve">P3</t>
  </si>
  <si>
    <t xml:space="preserve">P4</t>
  </si>
  <si>
    <t xml:space="preserve">Van Westendorp: % người cho rằng mức giá X là…</t>
  </si>
  <si>
    <t xml:space="preserve">Giá X</t>
  </si>
  <si>
    <t xml:space="preserve">Quá rẻ</t>
  </si>
  <si>
    <t xml:space="preserve">Rẻ</t>
  </si>
  <si>
    <t xml:space="preserve">Đắt</t>
  </si>
  <si>
    <t xml:space="preserve">Quá đắt</t>
  </si>
  <si>
    <t xml:space="preserve">Nhập dãy giá X ở cột L (ô vàng). Điểm cắt Quá rẻ × Đắt = giá thấp nhất chấp nhận; Rẻ × Quá đắt = giá cao nhất.</t>
  </si>
  <si>
    <t xml:space="preserve">Điền giá thật đang bán trên sàn (ghi ngày kiểm). Không dùng số ước đoán.</t>
  </si>
  <si>
    <t xml:space="preserve">Sản phẩm / loại thay thế</t>
  </si>
  <si>
    <t xml:space="preserve">Thương hiệu</t>
  </si>
  <si>
    <t xml:space="preserve">Kênh</t>
  </si>
  <si>
    <t xml:space="preserve">Dung tích (ml)</t>
  </si>
  <si>
    <t xml:space="preserve">Giá bán (đ)</t>
  </si>
  <si>
    <t xml:space="preserve">Giá/ml</t>
  </si>
  <si>
    <t xml:space="preserve">ml/lần dùng</t>
  </si>
  <si>
    <t xml:space="preserve">Giá/lần dùng</t>
  </si>
  <si>
    <t xml:space="preserve">Ngày kiểm</t>
  </si>
  <si>
    <t xml:space="preserve">Link</t>
  </si>
  <si>
    <t xml:space="preserve">Dầu dừa nguyên chất</t>
  </si>
  <si>
    <t xml:space="preserve">Dầu bưởi / tinh dầu bưởi</t>
  </si>
  <si>
    <t xml:space="preserve">Rosemary oil</t>
  </si>
  <si>
    <t xml:space="preserve">Xịt dưỡng / tonic da đầu</t>
  </si>
  <si>
    <t xml:space="preserve">Serum da đầu</t>
  </si>
  <si>
    <t xml:space="preserve">Kem ủ / mặt nạ tóc</t>
  </si>
  <si>
    <t xml:space="preserve">Dầu xả cao cấp</t>
  </si>
  <si>
    <t xml:space="preserve">Pre-shampoo treatment ngoại</t>
  </si>
  <si>
    <t xml:space="preserve">Gội đầu dưỡng sinh (1 lần)</t>
  </si>
  <si>
    <t xml:space="preserve">Dosie's Care SKU1</t>
  </si>
  <si>
    <t xml:space="preserve">Số trong ô vàng hiện là VÍ DỤ MINH HỌA để công thức chạy, KHÔNG phải số thật của DS. Thay bằng báo giá OEM, biểu phí sàn hiện hành.</t>
  </si>
  <si>
    <t xml:space="preserve">Khoản mục</t>
  </si>
  <si>
    <t xml:space="preserve">Giá trị</t>
  </si>
  <si>
    <t xml:space="preserve">Đơn vị</t>
  </si>
  <si>
    <t xml:space="preserve">Giá bán niêm yết</t>
  </si>
  <si>
    <t xml:space="preserve">đ</t>
  </si>
  <si>
    <t xml:space="preserve">VÍ DỤ</t>
  </si>
  <si>
    <t xml:space="preserve">Giảm giá / voucher trung bình (%)</t>
  </si>
  <si>
    <t xml:space="preserve">%</t>
  </si>
  <si>
    <t xml:space="preserve">Giá vốn ruột (COGS)</t>
  </si>
  <si>
    <t xml:space="preserve">Theo báo giá OEM</t>
  </si>
  <si>
    <t xml:space="preserve">Bao bì, hộp, thiệp</t>
  </si>
  <si>
    <t xml:space="preserve">Quà tặng kèm</t>
  </si>
  <si>
    <t xml:space="preserve">Phí sàn + thanh toán (%)</t>
  </si>
  <si>
    <t xml:space="preserve">Theo biểu phí sàn hiện hành</t>
  </si>
  <si>
    <t xml:space="preserve">Hoa hồng affiliate/KOC (%)</t>
  </si>
  <si>
    <t xml:space="preserve">Chỉ đơn qua affiliate</t>
  </si>
  <si>
    <t xml:space="preserve">Vận chuyển shop chịu</t>
  </si>
  <si>
    <t xml:space="preserve">Đóng gói, nhân công/đơn</t>
  </si>
  <si>
    <t xml:space="preserve">Tỷ lệ hoàn/hủy (%)</t>
  </si>
  <si>
    <t xml:space="preserve">CAC (chi phí quảng cáo / khách mới)</t>
  </si>
  <si>
    <t xml:space="preserve">Lấy từ D8_Dashboard</t>
  </si>
  <si>
    <t xml:space="preserve">Số đơn trung bình / khách trong 12 tháng</t>
  </si>
  <si>
    <t xml:space="preserve">đơn</t>
  </si>
  <si>
    <t xml:space="preserve">Ước lượng; cập nhật theo dữ liệu mua lại</t>
  </si>
  <si>
    <t xml:space="preserve">KẾT QUẢ (tự tính)</t>
  </si>
  <si>
    <t xml:space="preserve">Doanh thu thuần/đơn</t>
  </si>
  <si>
    <t xml:space="preserve">Phí theo % doanh thu</t>
  </si>
  <si>
    <t xml:space="preserve">Chi phí cố định/đơn</t>
  </si>
  <si>
    <t xml:space="preserve">Hao hụt hoàn/hủy</t>
  </si>
  <si>
    <t xml:space="preserve">Lợi nhuận góp/đơn (trước CAC)</t>
  </si>
  <si>
    <t xml:space="preserve">Biên lợi nhuận góp (%)</t>
  </si>
  <si>
    <t xml:space="preserve">Lợi nhuận đơn đầu sau CAC</t>
  </si>
  <si>
    <t xml:space="preserve">Giá trị khách 12 tháng (LTV góp)</t>
  </si>
  <si>
    <t xml:space="preserve">LTV / CAC</t>
  </si>
  <si>
    <t xml:space="preserve">Số đơn hòa vốn CAC</t>
  </si>
  <si>
    <t xml:space="preserve">Đọc nhanh: LTV/CAC ≥ 3 là lành mạnh; số đơn hòa vốn CAC ≤ 1 nghĩa là đơn đầu đã có lãi.</t>
  </si>
  <si>
    <t xml:space="preserve">Chấm 1–5. Điểm v0 do DS đánh giá; chấm lại sau phỏng vấn/khảo sát. Top 5 = ưu tiên.</t>
  </si>
  <si>
    <t xml:space="preserve">Tình huống (CEP)</t>
  </si>
  <si>
    <t xml:space="preserve">Tần suất</t>
  </si>
  <si>
    <t xml:space="preserve">Hợp với DS</t>
  </si>
  <si>
    <t xml:space="preserve">Ít đối thủ chiếm</t>
  </si>
  <si>
    <t xml:space="preserve">Tổng</t>
  </si>
  <si>
    <t xml:space="preserve">Xếp hạng</t>
  </si>
  <si>
    <t xml:space="preserve">Ưu tiên?</t>
  </si>
  <si>
    <t xml:space="preserve">Ngay trước khi đi tắm buổi tối</t>
  </si>
  <si>
    <t xml:space="preserve">Thấy tóc rụng trên gối, lược, khi gội</t>
  </si>
  <si>
    <t xml:space="preserve">Da đầu bết sau 1 ngày, ngứa vì mồ hôi</t>
  </si>
  <si>
    <t xml:space="preserve">Sau một ngày đội mũ bảo hiểm, nắng nóng</t>
  </si>
  <si>
    <t xml:space="preserve">Sau khi nhuộm, tẩy, uốn</t>
  </si>
  <si>
    <t xml:space="preserve">Tối cuối tuần muốn tự chăm sóc</t>
  </si>
  <si>
    <t xml:space="preserve">Trời hanh khô, da đầu căng</t>
  </si>
  <si>
    <t xml:space="preserve">Sau sinh, tóc rụng nhiều, ít thời gian</t>
  </si>
  <si>
    <t xml:space="preserve">Trước sự kiện (cưới, chụp ảnh, phỏng vấn)</t>
  </si>
  <si>
    <t xml:space="preserve">Tóc rối, chải khó, gãy khi chải</t>
  </si>
  <si>
    <t xml:space="preserve">Đổi sữa gội mới, da đầu khó chịu</t>
  </si>
  <si>
    <t xml:space="preserve">Áp lực công việc, muốn thư giãn</t>
  </si>
  <si>
    <t xml:space="preserve">Thấy video chăm tóc trên TikTok</t>
  </si>
  <si>
    <t xml:space="preserve">Hết chai sản phẩm cũ</t>
  </si>
  <si>
    <t xml:space="preserve">Mùa điều hòa, phòng lạnh khô</t>
  </si>
  <si>
    <t xml:space="preserve">Đi salon về, muốn giữ tóc đẹp</t>
  </si>
  <si>
    <t xml:space="preserve">Mua quà cho mẹ, bạn</t>
  </si>
  <si>
    <t xml:space="preserve">Chuẩn bị đi du lịch</t>
  </si>
  <si>
    <t xml:space="preserve">Sau khi đi bơi</t>
  </si>
  <si>
    <t xml:space="preserve">Trước khi ngủ, muốn thư giãn</t>
  </si>
  <si>
    <t xml:space="preserve">Fame = % người nhận đúng là DS. Uniqueness = % trong số nhận ra, không nhầm sang thương hiệu khác. Ngưỡng 50%.</t>
  </si>
  <si>
    <t xml:space="preserve">Tài sản</t>
  </si>
  <si>
    <t xml:space="preserve">Số người hỏi</t>
  </si>
  <si>
    <t xml:space="preserve">Số nhận đúng DS</t>
  </si>
  <si>
    <t xml:space="preserve">Số nhầm thương hiệu khác</t>
  </si>
  <si>
    <t xml:space="preserve">Fame</t>
  </si>
  <si>
    <t xml:space="preserve">Uniqueness</t>
  </si>
  <si>
    <t xml:space="preserve">Góc phần tư</t>
  </si>
  <si>
    <t xml:space="preserve">Hành động</t>
  </si>
  <si>
    <t xml:space="preserve">Monogram DS (bướm + chữ D, S)</t>
  </si>
  <si>
    <t xml:space="preserve">Màu đỏ rượu #56061D + hồng #FFF5F9</t>
  </si>
  <si>
    <t xml:space="preserve">Font tiêu đề serif (Bodoni Moda / Cormorant)</t>
  </si>
  <si>
    <t xml:space="preserve">Dáng chai và nắp nhỏ giọt</t>
  </si>
  <si>
    <t xml:space="preserve">Câu "Trước gội" / "Rooted in Care"</t>
  </si>
  <si>
    <t xml:space="preserve">Ritual 3 bước (biểu tượng 1-2-3)</t>
  </si>
  <si>
    <t xml:space="preserve">Người dẫn (founder, host)</t>
  </si>
  <si>
    <t xml:space="preserve">Ghi kết quả sau khi đăng; hook thắng = tỷ lệ xem 3s và lưu cao nhất trong cùng mức awareness.</t>
  </si>
  <si>
    <t xml:space="preserve">Mức awareness</t>
  </si>
  <si>
    <t xml:space="preserve">Hook</t>
  </si>
  <si>
    <t xml:space="preserve">Ngày đăng</t>
  </si>
  <si>
    <t xml:space="preserve">Thắng?</t>
  </si>
  <si>
    <t xml:space="preserve">Unaware</t>
  </si>
  <si>
    <t xml:space="preserve">Mặt bạn được rửa 2 bước, còn da đầu thì sao?</t>
  </si>
  <si>
    <t xml:space="preserve">Bạn đang chăm tóc ngược thứ tự mà không biết.</t>
  </si>
  <si>
    <t xml:space="preserve">Bước chăm tóc mà bà và mẹ mình từng làm, còn mình thì bỏ quên.</t>
  </si>
  <si>
    <t xml:space="preserve">Việc mình làm 15 phút trước khi tắm, tuần nào cũng làm.</t>
  </si>
  <si>
    <t xml:space="preserve">Tóc mình mềm hơn từ khi mình đổi giờ chăm tóc.</t>
  </si>
  <si>
    <t xml:space="preserve">Đây là 15 phút duy nhất trong ngày mình không cầm điện thoại.</t>
  </si>
  <si>
    <t xml:space="preserve">Problem aware</t>
  </si>
  <si>
    <t xml:space="preserve">Sáng nào cũng nhặt tóc trên gối? Khoan hoảng đã.</t>
  </si>
  <si>
    <t xml:space="preserve">Tóc khô dù dùng dầu xả xịn? Có thể bạn chăm sai thời điểm.</t>
  </si>
  <si>
    <t xml:space="preserve">5 thói quen khi gội làm tóc dễ gãy.</t>
  </si>
  <si>
    <t xml:space="preserve">Chân tóc chiều là bết, ngọn lại khô: bạn thuộc kiểu này?</t>
  </si>
  <si>
    <t xml:space="preserve">Tóc sau nhuộm cứ chải là gãy?</t>
  </si>
  <si>
    <t xml:space="preserve">Đội mũ bảo hiểm cả ngày, về tới nhà da đầu ra sao?</t>
  </si>
  <si>
    <t xml:space="preserve">Rụng hay gãy? Nhìn chân sợi tóc là biết.</t>
  </si>
  <si>
    <t xml:space="preserve">Solution aware</t>
  </si>
  <si>
    <t xml:space="preserve">Ủ tóc mà sợ bết? Lỗi nằm ở bước gội, không phải ở việc ủ.</t>
  </si>
  <si>
    <t xml:space="preserve">Mẹo gội sạch ngay lần đầu sau khi ủ: nhũ hóa.</t>
  </si>
  <si>
    <t xml:space="preserve">Ủ qua đêm có tốt hơn không? Không hẳn.</t>
  </si>
  <si>
    <t xml:space="preserve">Kết cấu đặc và kết cấu nhẹ: thử trên mu bàn tay.</t>
  </si>
  <si>
    <t xml:space="preserve">Lười massage 10 phút? Gắn nó vào giờ tắm.</t>
  </si>
  <si>
    <t xml:space="preserve">Ủ trước gội khác dưỡng sau gội thế nào?</t>
  </si>
  <si>
    <t xml:space="preserve">Đọc bảng thành phần chai ủ: nhìn phần nền trước.</t>
  </si>
  <si>
    <t xml:space="preserve">Bao nhiêu là đủ? Chấm dọc đường ngôi, đừng đổ cả lòng bàn tay.</t>
  </si>
  <si>
    <t xml:space="preserve">Product aware</t>
  </si>
  <si>
    <t xml:space="preserve">Mình ủ rồi gội đúng 1 lần: kết quả thật, không cắt.</t>
  </si>
  <si>
    <t xml:space="preserve">Đọc cùng mình bảng thành phần chai này.</t>
  </si>
  <si>
    <t xml:space="preserve">3 bước, 15 phút, gắn vào giờ tắm.</t>
  </si>
  <si>
    <t xml:space="preserve">Ai KHÔNG nên dùng chai này?</t>
  </si>
  <si>
    <t xml:space="preserve">14 ngày, 3 người, nhận xét nguyên văn cả khen lẫn chê.</t>
  </si>
  <si>
    <t xml:space="preserve">Chúng mình không hứa mọc tóc. Đây là điều chai này làm được.</t>
  </si>
  <si>
    <t xml:space="preserve">Most aware</t>
  </si>
  <si>
    <t xml:space="preserve">Bộ đôi trước gội và sau gội: dùng thế nào cho đúng.</t>
  </si>
  <si>
    <t xml:space="preserve">Ưu đãi tối nay cho những ai đã hỏi mình về chai này.</t>
  </si>
  <si>
    <t xml:space="preserve">Cách nhận biết hàng chính hãng khi mở hộp.</t>
  </si>
  <si>
    <t xml:space="preserve">Mỗi creative 1 dòng. Chỉ thay 1 biến mỗi lần test.</t>
  </si>
  <si>
    <t xml:space="preserve">Mã</t>
  </si>
  <si>
    <t xml:space="preserve">Ngày</t>
  </si>
  <si>
    <t xml:space="preserve">Hook #</t>
  </si>
  <si>
    <t xml:space="preserve">Biến đang test</t>
  </si>
  <si>
    <t xml:space="preserve">Format</t>
  </si>
  <si>
    <t xml:space="preserve">Chi phí (đ)</t>
  </si>
  <si>
    <t xml:space="preserve">Hiển thị</t>
  </si>
  <si>
    <t xml:space="preserve">Click</t>
  </si>
  <si>
    <t xml:space="preserve">Đơn</t>
  </si>
  <si>
    <t xml:space="preserve">CTR</t>
  </si>
  <si>
    <t xml:space="preserve">CPA</t>
  </si>
  <si>
    <t xml:space="preserve">Lưu/Thắng/Loại</t>
  </si>
  <si>
    <t xml:space="preserve">Bài học</t>
  </si>
  <si>
    <t xml:space="preserve">C01</t>
  </si>
  <si>
    <t xml:space="preserve">C02</t>
  </si>
  <si>
    <t xml:space="preserve">C03</t>
  </si>
  <si>
    <t xml:space="preserve">C04</t>
  </si>
  <si>
    <t xml:space="preserve">C05</t>
  </si>
  <si>
    <t xml:space="preserve">C06</t>
  </si>
  <si>
    <t xml:space="preserve">C07</t>
  </si>
  <si>
    <t xml:space="preserve">C08</t>
  </si>
  <si>
    <t xml:space="preserve">C09</t>
  </si>
  <si>
    <t xml:space="preserve">C10</t>
  </si>
  <si>
    <t xml:space="preserve">C11</t>
  </si>
  <si>
    <t xml:space="preserve">C12</t>
  </si>
  <si>
    <t xml:space="preserve">C13</t>
  </si>
  <si>
    <t xml:space="preserve">C14</t>
  </si>
  <si>
    <t xml:space="preserve">C15</t>
  </si>
  <si>
    <t xml:space="preserve">C16</t>
  </si>
  <si>
    <t xml:space="preserve">C17</t>
  </si>
  <si>
    <t xml:space="preserve">C18</t>
  </si>
  <si>
    <t xml:space="preserve">C19</t>
  </si>
  <si>
    <t xml:space="preserve">C20</t>
  </si>
  <si>
    <t xml:space="preserve">C21</t>
  </si>
  <si>
    <t xml:space="preserve">C22</t>
  </si>
  <si>
    <t xml:space="preserve">C23</t>
  </si>
  <si>
    <t xml:space="preserve">C24</t>
  </si>
  <si>
    <t xml:space="preserve">C25</t>
  </si>
  <si>
    <t xml:space="preserve">C26</t>
  </si>
  <si>
    <t xml:space="preserve">C27</t>
  </si>
  <si>
    <t xml:space="preserve">C28</t>
  </si>
  <si>
    <t xml:space="preserve">C29</t>
  </si>
  <si>
    <t xml:space="preserve">C30</t>
  </si>
  <si>
    <t xml:space="preserve">C31</t>
  </si>
  <si>
    <t xml:space="preserve">C32</t>
  </si>
  <si>
    <t xml:space="preserve">C33</t>
  </si>
  <si>
    <t xml:space="preserve">C34</t>
  </si>
  <si>
    <t xml:space="preserve">C35</t>
  </si>
  <si>
    <t xml:space="preserve">C36</t>
  </si>
  <si>
    <t xml:space="preserve">C37</t>
  </si>
  <si>
    <t xml:space="preserve">C38</t>
  </si>
  <si>
    <t xml:space="preserve">C39</t>
  </si>
  <si>
    <t xml:space="preserve">C40</t>
  </si>
  <si>
    <t xml:space="preserve">Nhập tổng ngân sách tháng và giai đoạn. Tỷ lệ kênh là khung khởi đầu, chỉnh theo dữ liệu thật.</t>
  </si>
  <si>
    <t xml:space="preserve">Thông số</t>
  </si>
  <si>
    <t xml:space="preserve">Tổng ngân sách marketing tháng (đ)</t>
  </si>
  <si>
    <t xml:space="preserve">Giai đoạn</t>
  </si>
  <si>
    <t xml:space="preserve">Tháng 1–3</t>
  </si>
  <si>
    <t xml:space="preserve">Tỷ lệ Brand</t>
  </si>
  <si>
    <t xml:space="preserve">Ngân sách Brand</t>
  </si>
  <si>
    <t xml:space="preserve">Ngân sách Activation</t>
  </si>
  <si>
    <t xml:space="preserve">Nhóm</t>
  </si>
  <si>
    <t xml:space="preserve">% trong nhóm</t>
  </si>
  <si>
    <t xml:space="preserve">Ngân sách (đ)</t>
  </si>
  <si>
    <t xml:space="preserve">Quảng cáo video tiếp cận</t>
  </si>
  <si>
    <t xml:space="preserve">Brand</t>
  </si>
  <si>
    <t xml:space="preserve">KOC kể chuyện</t>
  </si>
  <si>
    <t xml:space="preserve">Sản xuất nội dung (phim, ảnh)</t>
  </si>
  <si>
    <t xml:space="preserve">Quảng cáo chuyển đổi (giỏ hàng)</t>
  </si>
  <si>
    <t xml:space="preserve">Activation</t>
  </si>
  <si>
    <t xml:space="preserve">Livestream (host, quà)</t>
  </si>
  <si>
    <t xml:space="preserve">Affiliate / hoa hồng KOC</t>
  </si>
  <si>
    <t xml:space="preserve">Voucher sàn, mẫu thử</t>
  </si>
  <si>
    <t xml:space="preserve">Kiểm tra tổng % Brand / Activation</t>
  </si>
  <si>
    <t xml:space="preserve">Tuần bắt đầu</t>
  </si>
  <si>
    <t xml:space="preserve">Lượt xem trang SP</t>
  </si>
  <si>
    <t xml:space="preserve">Doanh thu (đ)</t>
  </si>
  <si>
    <t xml:space="preserve">Khách mới</t>
  </si>
  <si>
    <t xml:space="preserve">Khách mua lần 2</t>
  </si>
  <si>
    <t xml:space="preserve">Chi phí QC (đ)</t>
  </si>
  <si>
    <t xml:space="preserve">LN góp/đơn (đ)</t>
  </si>
  <si>
    <t xml:space="preserve">CR</t>
  </si>
  <si>
    <t xml:space="preserve">AOV</t>
  </si>
  <si>
    <t xml:space="preserve">CAC</t>
  </si>
  <si>
    <t xml:space="preserve">LN góp tuần</t>
  </si>
  <si>
    <t xml:space="preserve">Doanh thu so tuần trước</t>
  </si>
  <si>
    <t xml:space="preserve">Review nhắc "bết"</t>
  </si>
  <si>
    <t xml:space="preserve">% review "bết"</t>
  </si>
  <si>
    <t xml:space="preserve">Tổng review</t>
  </si>
  <si>
    <t xml:space="preserve">I, C, E thang 1–10; ICE = I×C×E/100. Chấm lại mỗi tuần; chạy dòng điểm cao nhất trước.</t>
  </si>
  <si>
    <t xml:space="preserve">I</t>
  </si>
  <si>
    <t xml:space="preserve">C</t>
  </si>
  <si>
    <t xml:space="preserve">E</t>
  </si>
  <si>
    <t xml:space="preserve">ICE</t>
  </si>
  <si>
    <t xml:space="preserve">Trạng thái</t>
  </si>
  <si>
    <t xml:space="preserve">Kết quả</t>
  </si>
  <si>
    <t xml:space="preserve">Giảm Anxiety</t>
  </si>
  <si>
    <t xml:space="preserve">Video rinse test ghim đầu kênh tăng CR trang sản phẩm</t>
  </si>
  <si>
    <t xml:space="preserve">Chờ</t>
  </si>
  <si>
    <t xml:space="preserve">Mẫu thử 5 ml kèm đơn đầu tăng tỷ lệ mua lại 60 ngày</t>
  </si>
  <si>
    <t xml:space="preserve">Câu "thử sau tai 24 giờ" trên ảnh listing giảm đánh giá 1 sao</t>
  </si>
  <si>
    <t xml:space="preserve">Habit</t>
  </si>
  <si>
    <t xml:space="preserve">Tin nhắn Zalo ngày 2 tăng tỷ lệ dùng lần 2</t>
  </si>
  <si>
    <t xml:space="preserve">Sticker "trước gội" dán cạnh sữa gội tăng tần suất dùng</t>
  </si>
  <si>
    <t xml:space="preserve">Thanh tiến độ 14 ngày tăng tỷ lệ hoàn thành</t>
  </si>
  <si>
    <t xml:space="preserve">Mua lại</t>
  </si>
  <si>
    <t xml:space="preserve">Nhắc mua lại ngày 21 tăng tỷ lệ mua lần 2</t>
  </si>
  <si>
    <t xml:space="preserve">Ưu đãi bộ đôi cho khách lần 2 tăng AOV</t>
  </si>
  <si>
    <t xml:space="preserve">Gói combo liệu trình tăng LTV 90 ngày</t>
  </si>
  <si>
    <t xml:space="preserve">Content</t>
  </si>
  <si>
    <t xml:space="preserve">Hook "trước gội" so với hook "rụng tóc" về tỷ lệ xem 3 giây</t>
  </si>
  <si>
    <t xml:space="preserve">Video founder so với video host về CR</t>
  </si>
  <si>
    <t xml:space="preserve">Bài ảnh 10 slide so với video 30 giây về lượt lưu</t>
  </si>
  <si>
    <t xml:space="preserve">Series "Tập 2" tăng follow</t>
  </si>
  <si>
    <t xml:space="preserve">CEP "mũ bảo hiểm" so với CEP "trước khi tắm"</t>
  </si>
  <si>
    <t xml:space="preserve">Live</t>
  </si>
  <si>
    <t xml:space="preserve">Demo nhũ hóa ở phút 5 so với phút 15 về giữ chân người xem</t>
  </si>
  <si>
    <t xml:space="preserve">Quà ritual so với giảm giá về CR trong phiên</t>
  </si>
  <si>
    <t xml:space="preserve">Khung giờ 20h so với 21h30</t>
  </si>
  <si>
    <t xml:space="preserve">Host đọc comment thật về bết, trả lời bằng demo</t>
  </si>
  <si>
    <t xml:space="preserve">Sàn</t>
  </si>
  <si>
    <t xml:space="preserve">Tên listing có "trước gội" tăng lượt tìm thấy</t>
  </si>
  <si>
    <t xml:space="preserve">Ảnh bìa nhận diện (nền hồng, chữ đỏ rượu) so với ảnh nền trắng</t>
  </si>
  <si>
    <t xml:space="preserve">Dòng "giá mỗi lần dùng" trên ảnh 2</t>
  </si>
  <si>
    <t xml:space="preserve">Video ngắn trên trang sản phẩm tăng CR</t>
  </si>
  <si>
    <t xml:space="preserve">KOC</t>
  </si>
  <si>
    <t xml:space="preserve">KOC nhỏ (5–30k) so với KOC vừa (100k+) về CAC</t>
  </si>
  <si>
    <t xml:space="preserve">Brief có Claim Library giảm video bị gỡ</t>
  </si>
  <si>
    <t xml:space="preserve">Mã KOC riêng để đo chính xác</t>
  </si>
  <si>
    <t xml:space="preserve">Referral</t>
  </si>
  <si>
    <t xml:space="preserve">Tặng mẫu thử cho bạn của khách</t>
  </si>
  <si>
    <t xml:space="preserve">Thử thách #14NgayUTruocGoi có quà nhỏ</t>
  </si>
  <si>
    <t xml:space="preserve">Bộ đôi tiết kiệm 10% so với 15% về lợi nhuận góp</t>
  </si>
  <si>
    <t xml:space="preserve">Bản dùng thử 10 ml trả phí so với mẫu thử miễn phí</t>
  </si>
  <si>
    <t xml:space="preserve">CRM</t>
  </si>
  <si>
    <t xml:space="preserve">Thu số Zalo qua QR thiệp: tỷ lệ quét</t>
  </si>
  <si>
    <t xml:space="preserve">Mỗi niềm tin dùng trong nội dung/chiến lược phải có dòng ở đây. Hết hạn kiểm lại sau 12 tháng.</t>
  </si>
  <si>
    <t xml:space="preserve">Niềm tin của DS</t>
  </si>
  <si>
    <t xml:space="preserve">Nguồn</t>
  </si>
  <si>
    <t xml:space="preserve">Loại bằng chứng</t>
  </si>
  <si>
    <t xml:space="preserve">Giới hạn khi suy luận</t>
  </si>
  <si>
    <t xml:space="preserve">Mức tin</t>
  </si>
  <si>
    <t xml:space="preserve">Dùng ở đâu</t>
  </si>
  <si>
    <t xml:space="preserve">Kiểm lại trước</t>
  </si>
  <si>
    <t xml:space="preserve">Rụng 50–100 sợi/ngày là bình thường</t>
  </si>
  <si>
    <t xml:space="preserve">AAD</t>
  </si>
  <si>
    <t xml:space="preserve">Khuyến cáo chuyên môn</t>
  </si>
  <si>
    <t xml:space="preserve">Con số trung bình; khác nhau giữa người</t>
  </si>
  <si>
    <t xml:space="preserve">Chu kỳ tóc 3 pha; khoảng 10% ở pha nghỉ</t>
  </si>
  <si>
    <t xml:space="preserve">Paus &amp; Cotsarelis, NEJM 1999</t>
  </si>
  <si>
    <t xml:space="preserve">Tổng quan y văn</t>
  </si>
  <si>
    <t xml:space="preserve">Giá trị ước lượng</t>
  </si>
  <si>
    <t xml:space="preserve">Tóc rụng dồn 2–3 tháng sau cú sốc</t>
  </si>
  <si>
    <t xml:space="preserve">Headington 1993; AAD</t>
  </si>
  <si>
    <t xml:space="preserve">Y văn lâm sàng</t>
  </si>
  <si>
    <t xml:space="preserve">Không áp dụng cho rụng tóc di truyền</t>
  </si>
  <si>
    <t xml:space="preserve">Sợ bết là rào cản lớn nhất</t>
  </si>
  <si>
    <t xml:space="preserve">Giả thuyết (Đợt 1)</t>
  </si>
  <si>
    <t xml:space="preserve">Chưa có</t>
  </si>
  <si>
    <t xml:space="preserve">Chờ 15 cuộc phỏng vấn</t>
  </si>
  <si>
    <t xml:space="preserve">Khách bỏ cuộc vì thói quen hơn vì sản phẩm</t>
  </si>
  <si>
    <t xml:space="preserve">Chờ phỏng vấn nhóm B</t>
  </si>
  <si>
    <t xml:space="preserve">"Trước gội" là hook tốt nhất</t>
  </si>
  <si>
    <t xml:space="preserve">Giả thuyết (Đợt 2)</t>
  </si>
  <si>
    <t xml:space="preserve">Chờ test 9 video</t>
  </si>
  <si>
    <t xml:space="preserve">Tăng trưởng chủ yếu đến từ khách mới</t>
  </si>
  <si>
    <t xml:space="preserve">Sharp, How Brands Grow</t>
  </si>
  <si>
    <t xml:space="preserve">Quy luật thực nghiệm nhiều category</t>
  </si>
  <si>
    <t xml:space="preserve">Thương hiệu rất nhỏ có thể khác; kiểm tra bằng dữ liệu DS</t>
  </si>
  <si>
    <t xml:space="preserve">Cân bằng brand:activation khoảng 60:40 hiệu quả dài hạn</t>
  </si>
  <si>
    <t xml:space="preserve">Binet &amp; Field</t>
  </si>
  <si>
    <t xml:space="preserve">Phân tích cơ sở dữ liệu IPA</t>
  </si>
  <si>
    <t xml:space="preserve">Chủ yếu thương hiệu lớn ở Anh; điều chỉnh theo giai đoạn</t>
  </si>
  <si>
    <t xml:space="preserve">Bộ đôi tăng AOV</t>
  </si>
  <si>
    <t xml:space="preserve">Giả thuyết (Đợt 3, 4)</t>
  </si>
  <si>
    <t xml:space="preserve">Chờ thí nghiệm E5</t>
  </si>
  <si>
    <t xml:space="preserve">Hành trình 14 ngày tăng mua lại</t>
  </si>
  <si>
    <t xml:space="preserve">Giả thuyết (Đợt 3)</t>
  </si>
  <si>
    <t xml:space="preserve">Chờ thí nghiệm backlog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</si>
</sst>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0%"/>
    <numFmt numFmtId="166" formatCode="0.0%"/>
    <numFmt numFmtId="167" formatCode="0%"/>
    <numFmt numFmtId="168" formatCode="#,##0.0"/>
    <numFmt numFmtId="169" formatCode="#,##0"/>
    <numFmt numFmtId="170" formatCode="0.00"/>
    <numFmt numFmtId="171" formatCode="dd/mm/yyyy"/>
    <numFmt numFmtId="172" formatCode="0.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56061D"/>
      <name val="Georgia"/>
      <family val="0"/>
      <charset val="1"/>
    </font>
    <font>
      <i val="true"/>
      <sz val="9"/>
      <name val="Arial"/>
      <family val="0"/>
      <charset val="1"/>
    </font>
    <font>
      <u val="single"/>
      <sz val="11"/>
      <color rgb="FF56061D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56061D"/>
      <name val="Georgia"/>
      <family val="0"/>
      <charset val="1"/>
    </font>
    <font>
      <i val="true"/>
      <sz val="9"/>
      <color rgb="FF7D636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56061D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56061D"/>
        <bgColor rgb="FF800000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3CCD5"/>
      </left>
      <right style="thin">
        <color rgb="FFE3CCD5"/>
      </right>
      <top style="thin">
        <color rgb="FFE3CCD5"/>
      </top>
      <bottom style="thin">
        <color rgb="FFE3CCD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2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b val="1"/>
        <color rgb="FFC00000"/>
      </font>
    </dxf>
    <dxf>
      <fill>
        <patternFill>
          <bgColor rgb="FFF4A9C4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56061D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E3CCD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4A9C4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7D636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check.xlsx" TargetMode="External"/><Relationship Id="rId2" Type="http://schemas.openxmlformats.org/officeDocument/2006/relationships/hyperlink" Target="check.xlsx" TargetMode="External"/><Relationship Id="rId3" Type="http://schemas.openxmlformats.org/officeDocument/2006/relationships/hyperlink" Target="check.xlsx" TargetMode="External"/><Relationship Id="rId4" Type="http://schemas.openxmlformats.org/officeDocument/2006/relationships/hyperlink" Target="check.xlsx" TargetMode="External"/><Relationship Id="rId5" Type="http://schemas.openxmlformats.org/officeDocument/2006/relationships/hyperlink" Target="check.xlsx" TargetMode="External"/><Relationship Id="rId6" Type="http://schemas.openxmlformats.org/officeDocument/2006/relationships/hyperlink" Target="check.xlsx" TargetMode="External"/><Relationship Id="rId7" Type="http://schemas.openxmlformats.org/officeDocument/2006/relationships/hyperlink" Target="check.xlsx" TargetMode="External"/><Relationship Id="rId8" Type="http://schemas.openxmlformats.org/officeDocument/2006/relationships/hyperlink" Target="check.xlsx" TargetMode="External"/><Relationship Id="rId9" Type="http://schemas.openxmlformats.org/officeDocument/2006/relationships/hyperlink" Target="check.xlsx" TargetMode="External"/><Relationship Id="rId10" Type="http://schemas.openxmlformats.org/officeDocument/2006/relationships/hyperlink" Target="check.xlsx" TargetMode="External"/><Relationship Id="rId11" Type="http://schemas.openxmlformats.org/officeDocument/2006/relationships/hyperlink" Target="check.xlsx" TargetMode="External"/><Relationship Id="rId12" Type="http://schemas.openxmlformats.org/officeDocument/2006/relationships/hyperlink" Target="check.xlsx" TargetMode="External"/><Relationship Id="rId13" Type="http://schemas.openxmlformats.org/officeDocument/2006/relationships/hyperlink" Target="check.xlsx" TargetMode="External"/><Relationship Id="rId14" Type="http://schemas.openxmlformats.org/officeDocument/2006/relationships/hyperlink" Target="check.xlsx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7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3" t="s">
        <v>4</v>
      </c>
      <c r="B5" s="4" t="s">
        <v>5</v>
      </c>
    </row>
    <row r="6" customFormat="false" ht="15" hidden="false" customHeight="false" outlineLevel="0" collapsed="false">
      <c r="A6" s="3" t="s">
        <v>6</v>
      </c>
      <c r="B6" s="4" t="s">
        <v>7</v>
      </c>
    </row>
    <row r="7" customFormat="false" ht="15" hidden="false" customHeight="false" outlineLevel="0" collapsed="false">
      <c r="A7" s="3" t="s">
        <v>8</v>
      </c>
      <c r="B7" s="4" t="s">
        <v>9</v>
      </c>
    </row>
    <row r="8" customFormat="false" ht="15" hidden="false" customHeight="false" outlineLevel="0" collapsed="false">
      <c r="A8" s="3" t="s">
        <v>10</v>
      </c>
      <c r="B8" s="4" t="s">
        <v>11</v>
      </c>
    </row>
    <row r="9" customFormat="false" ht="15" hidden="false" customHeight="false" outlineLevel="0" collapsed="false">
      <c r="A9" s="3" t="s">
        <v>12</v>
      </c>
      <c r="B9" s="4" t="s">
        <v>13</v>
      </c>
    </row>
    <row r="10" customFormat="false" ht="15" hidden="false" customHeight="false" outlineLevel="0" collapsed="false">
      <c r="A10" s="3" t="s">
        <v>14</v>
      </c>
      <c r="B10" s="4" t="s">
        <v>15</v>
      </c>
    </row>
    <row r="11" customFormat="false" ht="15" hidden="false" customHeight="false" outlineLevel="0" collapsed="false">
      <c r="A11" s="3" t="s">
        <v>16</v>
      </c>
      <c r="B11" s="4" t="s">
        <v>17</v>
      </c>
    </row>
    <row r="12" customFormat="false" ht="15" hidden="false" customHeight="false" outlineLevel="0" collapsed="false">
      <c r="A12" s="3" t="s">
        <v>18</v>
      </c>
      <c r="B12" s="4" t="s">
        <v>19</v>
      </c>
    </row>
    <row r="13" customFormat="false" ht="15" hidden="false" customHeight="false" outlineLevel="0" collapsed="false">
      <c r="A13" s="3" t="s">
        <v>20</v>
      </c>
      <c r="B13" s="4" t="s">
        <v>21</v>
      </c>
    </row>
    <row r="14" customFormat="false" ht="15" hidden="false" customHeight="false" outlineLevel="0" collapsed="false">
      <c r="A14" s="3" t="s">
        <v>22</v>
      </c>
      <c r="B14" s="4" t="s">
        <v>23</v>
      </c>
    </row>
    <row r="15" customFormat="false" ht="15" hidden="false" customHeight="false" outlineLevel="0" collapsed="false">
      <c r="A15" s="3" t="s">
        <v>24</v>
      </c>
      <c r="B15" s="4" t="s">
        <v>25</v>
      </c>
    </row>
    <row r="16" customFormat="false" ht="15" hidden="false" customHeight="false" outlineLevel="0" collapsed="false">
      <c r="A16" s="3" t="s">
        <v>26</v>
      </c>
      <c r="B16" s="4" t="s">
        <v>27</v>
      </c>
    </row>
    <row r="17" customFormat="false" ht="15" hidden="false" customHeight="false" outlineLevel="0" collapsed="false">
      <c r="A17" s="3" t="s">
        <v>28</v>
      </c>
      <c r="B17" s="4" t="s">
        <v>29</v>
      </c>
    </row>
  </sheetData>
  <hyperlinks>
    <hyperlink ref="A4" r:id="rId1" location="'D2_Test_dinh_vi'!A1" display="D2_Test_dinh_vi"/>
    <hyperlink ref="A5" r:id="rId2" location="'D3_Bias_audit'!A1" display="D3_Bias_audit"/>
    <hyperlink ref="A6" r:id="rId3" location="'D3_Thi_nghiem'!A1" display="D3_Thi_nghiem"/>
    <hyperlink ref="A7" r:id="rId4" location="'D4_WTP'!A1" display="D4_WTP"/>
    <hyperlink ref="A8" r:id="rId5" location="'D4_Gia_tham_chieu'!A1" display="D4_Gia_tham_chieu"/>
    <hyperlink ref="A9" r:id="rId6" location="'D4_Unit_economics'!A1" display="D4_Unit_economics"/>
    <hyperlink ref="A10" r:id="rId7" location="'D5_CEP'!A1" display="D5_CEP"/>
    <hyperlink ref="A11" r:id="rId8" location="'D5_Asset_survey'!A1" display="D5_Asset_survey"/>
    <hyperlink ref="A12" r:id="rId9" location="'D6_Hook_bank'!A1" display="D6_Hook_bank"/>
    <hyperlink ref="A13" r:id="rId10" location="'D6_Creative_log'!A1" display="D6_Creative_log"/>
    <hyperlink ref="A14" r:id="rId11" location="'D7_Ngan_sach'!A1" display="D7_Ngan_sach"/>
    <hyperlink ref="A15" r:id="rId12" location="'D8_Dashboard'!A1" display="D8_Dashboard"/>
    <hyperlink ref="A16" r:id="rId13" location="'D8_Backlog'!A1" display="D8_Backlog"/>
    <hyperlink ref="A17" r:id="rId14" location="'D10_Evidence_log'!A1" display="D10_Evidence_log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4"/>
    <col collapsed="false" customWidth="true" hidden="false" outlineLevel="0" max="3" min="3" style="0" width="38"/>
    <col collapsed="false" customWidth="true" hidden="false" outlineLevel="0" max="4" min="4" style="0" width="22"/>
    <col collapsed="false" customWidth="true" hidden="false" outlineLevel="0" max="6" min="5" style="0" width="10"/>
    <col collapsed="false" customWidth="true" hidden="false" outlineLevel="0" max="9" min="7" style="0" width="9"/>
    <col collapsed="false" customWidth="true" hidden="false" outlineLevel="0" max="11" min="10" style="0" width="11"/>
    <col collapsed="false" customWidth="true" hidden="false" outlineLevel="0" max="12" min="12" style="0" width="24"/>
  </cols>
  <sheetData>
    <row r="1" customFormat="false" ht="17.35" hidden="false" customHeight="false" outlineLevel="0" collapsed="false">
      <c r="A1" s="5" t="s">
        <v>3</v>
      </c>
    </row>
    <row r="2" customFormat="false" ht="15" hidden="false" customHeight="false" outlineLevel="0" collapsed="false">
      <c r="A2" s="6" t="s">
        <v>30</v>
      </c>
    </row>
    <row r="4" customFormat="false" ht="23.85" hidden="false" customHeight="false" outlineLevel="0" collapsed="false">
      <c r="A4" s="7" t="s">
        <v>31</v>
      </c>
      <c r="B4" s="7" t="s">
        <v>32</v>
      </c>
      <c r="C4" s="7" t="s">
        <v>33</v>
      </c>
      <c r="D4" s="7" t="s">
        <v>34</v>
      </c>
      <c r="E4" s="7" t="s">
        <v>35</v>
      </c>
      <c r="F4" s="7" t="s">
        <v>36</v>
      </c>
      <c r="G4" s="7" t="s">
        <v>37</v>
      </c>
      <c r="H4" s="7" t="s">
        <v>38</v>
      </c>
      <c r="I4" s="7" t="s">
        <v>39</v>
      </c>
      <c r="J4" s="7" t="s">
        <v>40</v>
      </c>
      <c r="K4" s="7" t="s">
        <v>41</v>
      </c>
      <c r="L4" s="7" t="s">
        <v>42</v>
      </c>
    </row>
    <row r="5" customFormat="false" ht="23.85" hidden="false" customHeight="false" outlineLevel="0" collapsed="false">
      <c r="A5" s="8" t="s">
        <v>43</v>
      </c>
      <c r="B5" s="8" t="s">
        <v>44</v>
      </c>
      <c r="C5" s="8" t="s">
        <v>45</v>
      </c>
      <c r="D5" s="9"/>
      <c r="E5" s="9"/>
      <c r="F5" s="9"/>
      <c r="G5" s="9"/>
      <c r="H5" s="9"/>
      <c r="I5" s="9"/>
      <c r="J5" s="10" t="str">
        <f aca="false">IF(E5&gt;0,G5/E5,"")</f>
        <v/>
      </c>
      <c r="K5" s="9"/>
      <c r="L5" s="9"/>
    </row>
    <row r="6" customFormat="false" ht="23.85" hidden="false" customHeight="false" outlineLevel="0" collapsed="false">
      <c r="A6" s="8" t="s">
        <v>43</v>
      </c>
      <c r="B6" s="8" t="s">
        <v>44</v>
      </c>
      <c r="C6" s="8" t="s">
        <v>45</v>
      </c>
      <c r="D6" s="9"/>
      <c r="E6" s="9"/>
      <c r="F6" s="9"/>
      <c r="G6" s="9"/>
      <c r="H6" s="9"/>
      <c r="I6" s="9"/>
      <c r="J6" s="10" t="str">
        <f aca="false">IF(E6&gt;0,G6/E6,"")</f>
        <v/>
      </c>
      <c r="K6" s="9"/>
      <c r="L6" s="9"/>
    </row>
    <row r="7" customFormat="false" ht="23.85" hidden="false" customHeight="false" outlineLevel="0" collapsed="false">
      <c r="A7" s="8" t="s">
        <v>46</v>
      </c>
      <c r="B7" s="8" t="s">
        <v>47</v>
      </c>
      <c r="C7" s="8" t="s">
        <v>48</v>
      </c>
      <c r="D7" s="9"/>
      <c r="E7" s="9"/>
      <c r="F7" s="9"/>
      <c r="G7" s="9"/>
      <c r="H7" s="9"/>
      <c r="I7" s="9"/>
      <c r="J7" s="10" t="str">
        <f aca="false">IF(E7&gt;0,G7/E7,"")</f>
        <v/>
      </c>
      <c r="K7" s="9"/>
      <c r="L7" s="9"/>
    </row>
    <row r="8" customFormat="false" ht="23.85" hidden="false" customHeight="false" outlineLevel="0" collapsed="false">
      <c r="A8" s="8" t="s">
        <v>46</v>
      </c>
      <c r="B8" s="8" t="s">
        <v>47</v>
      </c>
      <c r="C8" s="8" t="s">
        <v>48</v>
      </c>
      <c r="D8" s="9"/>
      <c r="E8" s="9"/>
      <c r="F8" s="9"/>
      <c r="G8" s="9"/>
      <c r="H8" s="9"/>
      <c r="I8" s="9"/>
      <c r="J8" s="10" t="str">
        <f aca="false">IF(E8&gt;0,G8/E8,"")</f>
        <v/>
      </c>
      <c r="K8" s="9"/>
      <c r="L8" s="9"/>
    </row>
    <row r="9" customFormat="false" ht="23.85" hidden="false" customHeight="false" outlineLevel="0" collapsed="false">
      <c r="A9" s="8" t="s">
        <v>49</v>
      </c>
      <c r="B9" s="8" t="s">
        <v>50</v>
      </c>
      <c r="C9" s="8" t="s">
        <v>51</v>
      </c>
      <c r="D9" s="9"/>
      <c r="E9" s="9"/>
      <c r="F9" s="9"/>
      <c r="G9" s="9"/>
      <c r="H9" s="9"/>
      <c r="I9" s="9"/>
      <c r="J9" s="10" t="str">
        <f aca="false">IF(E9&gt;0,G9/E9,"")</f>
        <v/>
      </c>
      <c r="K9" s="9"/>
      <c r="L9" s="9"/>
    </row>
    <row r="10" customFormat="false" ht="23.85" hidden="false" customHeight="false" outlineLevel="0" collapsed="false">
      <c r="A10" s="8" t="s">
        <v>49</v>
      </c>
      <c r="B10" s="8" t="s">
        <v>50</v>
      </c>
      <c r="C10" s="8" t="s">
        <v>51</v>
      </c>
      <c r="D10" s="9"/>
      <c r="E10" s="9"/>
      <c r="F10" s="9"/>
      <c r="G10" s="9"/>
      <c r="H10" s="9"/>
      <c r="I10" s="9"/>
      <c r="J10" s="10" t="str">
        <f aca="false">IF(E10&gt;0,G10/E10,"")</f>
        <v/>
      </c>
      <c r="K10" s="9"/>
      <c r="L10" s="9"/>
    </row>
    <row r="12" customFormat="false" ht="26.85" hidden="false" customHeight="false" outlineLevel="0" collapsed="false">
      <c r="A12" s="11" t="s">
        <v>52</v>
      </c>
    </row>
    <row r="13" customFormat="false" ht="26.85" hidden="false" customHeight="false" outlineLevel="0" collapsed="false">
      <c r="A13" s="11" t="s">
        <v>31</v>
      </c>
      <c r="B13" s="11" t="s">
        <v>53</v>
      </c>
      <c r="C13" s="11" t="s">
        <v>54</v>
      </c>
      <c r="D13" s="11" t="s">
        <v>55</v>
      </c>
      <c r="E13" s="11" t="s">
        <v>41</v>
      </c>
    </row>
    <row r="14" customFormat="false" ht="15" hidden="false" customHeight="false" outlineLevel="0" collapsed="false">
      <c r="A14" s="8" t="s">
        <v>43</v>
      </c>
      <c r="B14" s="8" t="n">
        <f aca="false">SUMIF($A$5:$A$10,A14,$E$5:$E$10)</f>
        <v>0</v>
      </c>
      <c r="C14" s="8" t="n">
        <f aca="false">SUMIF($A$5:$A$10,A14,$G$5:$G$10)</f>
        <v>0</v>
      </c>
      <c r="D14" s="10" t="str">
        <f aca="false">IF(B14&gt;0,C14/B14,"")</f>
        <v/>
      </c>
      <c r="E14" s="8" t="n">
        <f aca="false">SUMIF($A$5:$A$10,A14,$K$5:$K$10)</f>
        <v>0</v>
      </c>
    </row>
    <row r="15" customFormat="false" ht="15" hidden="false" customHeight="false" outlineLevel="0" collapsed="false">
      <c r="A15" s="8" t="s">
        <v>46</v>
      </c>
      <c r="B15" s="8" t="n">
        <f aca="false">SUMIF($A$5:$A$10,A15,$E$5:$E$10)</f>
        <v>0</v>
      </c>
      <c r="C15" s="8" t="n">
        <f aca="false">SUMIF($A$5:$A$10,A15,$G$5:$G$10)</f>
        <v>0</v>
      </c>
      <c r="D15" s="10" t="str">
        <f aca="false">IF(B15&gt;0,C15/B15,"")</f>
        <v/>
      </c>
      <c r="E15" s="8" t="n">
        <f aca="false">SUMIF($A$5:$A$10,A15,$K$5:$K$10)</f>
        <v>0</v>
      </c>
    </row>
    <row r="16" customFormat="false" ht="15" hidden="false" customHeight="false" outlineLevel="0" collapsed="false">
      <c r="A16" s="8" t="s">
        <v>49</v>
      </c>
      <c r="B16" s="8" t="n">
        <f aca="false">SUMIF($A$5:$A$10,A16,$E$5:$E$10)</f>
        <v>0</v>
      </c>
      <c r="C16" s="8" t="n">
        <f aca="false">SUMIF($A$5:$A$10,A16,$G$5:$G$10)</f>
        <v>0</v>
      </c>
      <c r="D16" s="10" t="str">
        <f aca="false">IF(B16&gt;0,C16/B16,"")</f>
        <v/>
      </c>
      <c r="E16" s="8" t="n">
        <f aca="false">SUMIF($A$5:$A$10,A16,$K$5:$K$10)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18"/>
    <col collapsed="false" customWidth="true" hidden="false" outlineLevel="0" max="4" min="4" style="0" width="34"/>
    <col collapsed="false" customWidth="true" hidden="false" outlineLevel="0" max="6" min="5" style="0" width="18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10" min="9" style="0" width="9"/>
    <col collapsed="false" customWidth="true" hidden="false" outlineLevel="0" max="11" min="11" style="0" width="10"/>
    <col collapsed="false" customWidth="true" hidden="false" outlineLevel="0" max="12" min="12" style="0" width="34"/>
  </cols>
  <sheetData>
    <row r="1" customFormat="false" ht="17.35" hidden="false" customHeight="false" outlineLevel="0" collapsed="false">
      <c r="A1" s="5" t="s">
        <v>5</v>
      </c>
    </row>
    <row r="2" customFormat="false" ht="15" hidden="false" customHeight="false" outlineLevel="0" collapsed="false">
      <c r="A2" s="6" t="s">
        <v>56</v>
      </c>
    </row>
    <row r="4" customFormat="false" ht="23.85" hidden="false" customHeight="false" outlineLevel="0" collapsed="false">
      <c r="A4" s="7" t="s">
        <v>57</v>
      </c>
      <c r="B4" s="7" t="s">
        <v>34</v>
      </c>
      <c r="C4" s="7" t="s">
        <v>58</v>
      </c>
      <c r="D4" s="7" t="s">
        <v>59</v>
      </c>
      <c r="E4" s="7" t="s">
        <v>60</v>
      </c>
      <c r="F4" s="7" t="s">
        <v>61</v>
      </c>
      <c r="G4" s="7" t="s">
        <v>62</v>
      </c>
      <c r="H4" s="7" t="s">
        <v>35</v>
      </c>
      <c r="I4" s="7" t="s">
        <v>37</v>
      </c>
      <c r="J4" s="7" t="s">
        <v>38</v>
      </c>
      <c r="K4" s="7" t="s">
        <v>55</v>
      </c>
      <c r="L4" s="7" t="s">
        <v>63</v>
      </c>
    </row>
    <row r="5" customFormat="false" ht="15" hidden="false" customHeight="false" outlineLevel="0" collapsed="false">
      <c r="A5" s="8" t="n">
        <v>1</v>
      </c>
      <c r="B5" s="9"/>
      <c r="C5" s="9"/>
      <c r="D5" s="9"/>
      <c r="E5" s="9"/>
      <c r="F5" s="9"/>
      <c r="G5" s="9"/>
      <c r="H5" s="9"/>
      <c r="I5" s="9"/>
      <c r="J5" s="9"/>
      <c r="K5" s="10" t="str">
        <f aca="false">IF(H5&gt;0,I5/H5,"")</f>
        <v/>
      </c>
      <c r="L5" s="9"/>
    </row>
    <row r="6" customFormat="false" ht="15" hidden="false" customHeight="false" outlineLevel="0" collapsed="false">
      <c r="A6" s="8" t="n">
        <v>2</v>
      </c>
      <c r="B6" s="9"/>
      <c r="C6" s="9"/>
      <c r="D6" s="9"/>
      <c r="E6" s="9"/>
      <c r="F6" s="9"/>
      <c r="G6" s="9"/>
      <c r="H6" s="9"/>
      <c r="I6" s="9"/>
      <c r="J6" s="9"/>
      <c r="K6" s="10" t="str">
        <f aca="false">IF(H6&gt;0,I6/H6,"")</f>
        <v/>
      </c>
      <c r="L6" s="9"/>
    </row>
    <row r="7" customFormat="false" ht="15" hidden="false" customHeight="false" outlineLevel="0" collapsed="false">
      <c r="A7" s="8" t="n">
        <v>3</v>
      </c>
      <c r="B7" s="9"/>
      <c r="C7" s="9"/>
      <c r="D7" s="9"/>
      <c r="E7" s="9"/>
      <c r="F7" s="9"/>
      <c r="G7" s="9"/>
      <c r="H7" s="9"/>
      <c r="I7" s="9"/>
      <c r="J7" s="9"/>
      <c r="K7" s="10" t="str">
        <f aca="false">IF(H7&gt;0,I7/H7,"")</f>
        <v/>
      </c>
      <c r="L7" s="9"/>
    </row>
    <row r="8" customFormat="false" ht="15" hidden="false" customHeight="false" outlineLevel="0" collapsed="false">
      <c r="A8" s="8" t="n">
        <v>4</v>
      </c>
      <c r="B8" s="9"/>
      <c r="C8" s="9"/>
      <c r="D8" s="9"/>
      <c r="E8" s="9"/>
      <c r="F8" s="9"/>
      <c r="G8" s="9"/>
      <c r="H8" s="9"/>
      <c r="I8" s="9"/>
      <c r="J8" s="9"/>
      <c r="K8" s="10" t="str">
        <f aca="false">IF(H8&gt;0,I8/H8,"")</f>
        <v/>
      </c>
      <c r="L8" s="9"/>
    </row>
    <row r="9" customFormat="false" ht="15" hidden="false" customHeight="false" outlineLevel="0" collapsed="false">
      <c r="A9" s="8" t="n">
        <v>5</v>
      </c>
      <c r="B9" s="9"/>
      <c r="C9" s="9"/>
      <c r="D9" s="9"/>
      <c r="E9" s="9"/>
      <c r="F9" s="9"/>
      <c r="G9" s="9"/>
      <c r="H9" s="9"/>
      <c r="I9" s="9"/>
      <c r="J9" s="9"/>
      <c r="K9" s="10" t="str">
        <f aca="false">IF(H9&gt;0,I9/H9,"")</f>
        <v/>
      </c>
      <c r="L9" s="9"/>
    </row>
    <row r="10" customFormat="false" ht="15" hidden="false" customHeight="false" outlineLevel="0" collapsed="false">
      <c r="A10" s="8" t="n">
        <v>6</v>
      </c>
      <c r="B10" s="9"/>
      <c r="C10" s="9"/>
      <c r="D10" s="9"/>
      <c r="E10" s="9"/>
      <c r="F10" s="9"/>
      <c r="G10" s="9"/>
      <c r="H10" s="9"/>
      <c r="I10" s="9"/>
      <c r="J10" s="9"/>
      <c r="K10" s="10" t="str">
        <f aca="false">IF(H10&gt;0,I10/H10,"")</f>
        <v/>
      </c>
      <c r="L10" s="9"/>
    </row>
    <row r="11" customFormat="false" ht="15" hidden="false" customHeight="false" outlineLevel="0" collapsed="false">
      <c r="A11" s="8" t="n">
        <v>7</v>
      </c>
      <c r="B11" s="9"/>
      <c r="C11" s="9"/>
      <c r="D11" s="9"/>
      <c r="E11" s="9"/>
      <c r="F11" s="9"/>
      <c r="G11" s="9"/>
      <c r="H11" s="9"/>
      <c r="I11" s="9"/>
      <c r="J11" s="9"/>
      <c r="K11" s="10" t="str">
        <f aca="false">IF(H11&gt;0,I11/H11,"")</f>
        <v/>
      </c>
      <c r="L11" s="9"/>
    </row>
    <row r="12" customFormat="false" ht="15" hidden="false" customHeight="false" outlineLevel="0" collapsed="false">
      <c r="A12" s="8" t="n">
        <v>8</v>
      </c>
      <c r="B12" s="9"/>
      <c r="C12" s="9"/>
      <c r="D12" s="9"/>
      <c r="E12" s="9"/>
      <c r="F12" s="9"/>
      <c r="G12" s="9"/>
      <c r="H12" s="9"/>
      <c r="I12" s="9"/>
      <c r="J12" s="9"/>
      <c r="K12" s="10" t="str">
        <f aca="false">IF(H12&gt;0,I12/H12,"")</f>
        <v/>
      </c>
      <c r="L12" s="9"/>
    </row>
    <row r="13" customFormat="false" ht="15" hidden="false" customHeight="false" outlineLevel="0" collapsed="false">
      <c r="A13" s="8" t="n">
        <v>9</v>
      </c>
      <c r="B13" s="9"/>
      <c r="C13" s="9"/>
      <c r="D13" s="9"/>
      <c r="E13" s="9"/>
      <c r="F13" s="9"/>
      <c r="G13" s="9"/>
      <c r="H13" s="9"/>
      <c r="I13" s="9"/>
      <c r="J13" s="9"/>
      <c r="K13" s="10" t="str">
        <f aca="false">IF(H13&gt;0,I13/H13,"")</f>
        <v/>
      </c>
      <c r="L13" s="9"/>
    </row>
    <row r="14" customFormat="false" ht="15" hidden="false" customHeight="false" outlineLevel="0" collapsed="false">
      <c r="A14" s="8" t="n">
        <v>10</v>
      </c>
      <c r="B14" s="9"/>
      <c r="C14" s="9"/>
      <c r="D14" s="9"/>
      <c r="E14" s="9"/>
      <c r="F14" s="9"/>
      <c r="G14" s="9"/>
      <c r="H14" s="9"/>
      <c r="I14" s="9"/>
      <c r="J14" s="9"/>
      <c r="K14" s="10" t="str">
        <f aca="false">IF(H14&gt;0,I14/H14,"")</f>
        <v/>
      </c>
      <c r="L14" s="9"/>
    </row>
    <row r="15" customFormat="false" ht="15" hidden="false" customHeight="false" outlineLevel="0" collapsed="false">
      <c r="A15" s="8" t="n">
        <v>11</v>
      </c>
      <c r="B15" s="9"/>
      <c r="C15" s="9"/>
      <c r="D15" s="9"/>
      <c r="E15" s="9"/>
      <c r="F15" s="9"/>
      <c r="G15" s="9"/>
      <c r="H15" s="9"/>
      <c r="I15" s="9"/>
      <c r="J15" s="9"/>
      <c r="K15" s="10" t="str">
        <f aca="false">IF(H15&gt;0,I15/H15,"")</f>
        <v/>
      </c>
      <c r="L15" s="9"/>
    </row>
    <row r="16" customFormat="false" ht="15" hidden="false" customHeight="false" outlineLevel="0" collapsed="false">
      <c r="A16" s="8" t="n">
        <v>12</v>
      </c>
      <c r="B16" s="9"/>
      <c r="C16" s="9"/>
      <c r="D16" s="9"/>
      <c r="E16" s="9"/>
      <c r="F16" s="9"/>
      <c r="G16" s="9"/>
      <c r="H16" s="9"/>
      <c r="I16" s="9"/>
      <c r="J16" s="9"/>
      <c r="K16" s="10" t="str">
        <f aca="false">IF(H16&gt;0,I16/H16,"")</f>
        <v/>
      </c>
      <c r="L16" s="9"/>
    </row>
    <row r="17" customFormat="false" ht="15" hidden="false" customHeight="false" outlineLevel="0" collapsed="false">
      <c r="A17" s="8" t="n">
        <v>13</v>
      </c>
      <c r="B17" s="9"/>
      <c r="C17" s="9"/>
      <c r="D17" s="9"/>
      <c r="E17" s="9"/>
      <c r="F17" s="9"/>
      <c r="G17" s="9"/>
      <c r="H17" s="9"/>
      <c r="I17" s="9"/>
      <c r="J17" s="9"/>
      <c r="K17" s="10" t="str">
        <f aca="false">IF(H17&gt;0,I17/H17,"")</f>
        <v/>
      </c>
      <c r="L17" s="9"/>
    </row>
    <row r="18" customFormat="false" ht="15" hidden="false" customHeight="false" outlineLevel="0" collapsed="false">
      <c r="A18" s="8" t="n">
        <v>14</v>
      </c>
      <c r="B18" s="9"/>
      <c r="C18" s="9"/>
      <c r="D18" s="9"/>
      <c r="E18" s="9"/>
      <c r="F18" s="9"/>
      <c r="G18" s="9"/>
      <c r="H18" s="9"/>
      <c r="I18" s="9"/>
      <c r="J18" s="9"/>
      <c r="K18" s="10" t="str">
        <f aca="false">IF(H18&gt;0,I18/H18,"")</f>
        <v/>
      </c>
      <c r="L18" s="9"/>
    </row>
    <row r="19" customFormat="false" ht="15" hidden="false" customHeight="false" outlineLevel="0" collapsed="false">
      <c r="A19" s="8" t="n">
        <v>15</v>
      </c>
      <c r="B19" s="9"/>
      <c r="C19" s="9"/>
      <c r="D19" s="9"/>
      <c r="E19" s="9"/>
      <c r="F19" s="9"/>
      <c r="G19" s="9"/>
      <c r="H19" s="9"/>
      <c r="I19" s="9"/>
      <c r="J19" s="9"/>
      <c r="K19" s="10" t="str">
        <f aca="false">IF(H19&gt;0,I19/H19,"")</f>
        <v/>
      </c>
      <c r="L19" s="9"/>
    </row>
    <row r="20" customFormat="false" ht="15" hidden="false" customHeight="false" outlineLevel="0" collapsed="false">
      <c r="A20" s="8" t="n">
        <v>16</v>
      </c>
      <c r="B20" s="9"/>
      <c r="C20" s="9"/>
      <c r="D20" s="9"/>
      <c r="E20" s="9"/>
      <c r="F20" s="9"/>
      <c r="G20" s="9"/>
      <c r="H20" s="9"/>
      <c r="I20" s="9"/>
      <c r="J20" s="9"/>
      <c r="K20" s="10" t="str">
        <f aca="false">IF(H20&gt;0,I20/H20,"")</f>
        <v/>
      </c>
      <c r="L20" s="9"/>
    </row>
    <row r="21" customFormat="false" ht="15" hidden="false" customHeight="false" outlineLevel="0" collapsed="false">
      <c r="A21" s="8" t="n">
        <v>17</v>
      </c>
      <c r="B21" s="9"/>
      <c r="C21" s="9"/>
      <c r="D21" s="9"/>
      <c r="E21" s="9"/>
      <c r="F21" s="9"/>
      <c r="G21" s="9"/>
      <c r="H21" s="9"/>
      <c r="I21" s="9"/>
      <c r="J21" s="9"/>
      <c r="K21" s="10" t="str">
        <f aca="false">IF(H21&gt;0,I21/H21,"")</f>
        <v/>
      </c>
      <c r="L21" s="9"/>
    </row>
    <row r="22" customFormat="false" ht="15" hidden="false" customHeight="false" outlineLevel="0" collapsed="false">
      <c r="A22" s="8" t="n">
        <v>18</v>
      </c>
      <c r="B22" s="9"/>
      <c r="C22" s="9"/>
      <c r="D22" s="9"/>
      <c r="E22" s="9"/>
      <c r="F22" s="9"/>
      <c r="G22" s="9"/>
      <c r="H22" s="9"/>
      <c r="I22" s="9"/>
      <c r="J22" s="9"/>
      <c r="K22" s="10" t="str">
        <f aca="false">IF(H22&gt;0,I22/H22,"")</f>
        <v/>
      </c>
      <c r="L22" s="9"/>
    </row>
    <row r="23" customFormat="false" ht="15" hidden="false" customHeight="false" outlineLevel="0" collapsed="false">
      <c r="A23" s="8" t="n">
        <v>19</v>
      </c>
      <c r="B23" s="9"/>
      <c r="C23" s="9"/>
      <c r="D23" s="9"/>
      <c r="E23" s="9"/>
      <c r="F23" s="9"/>
      <c r="G23" s="9"/>
      <c r="H23" s="9"/>
      <c r="I23" s="9"/>
      <c r="J23" s="9"/>
      <c r="K23" s="10" t="str">
        <f aca="false">IF(H23&gt;0,I23/H23,"")</f>
        <v/>
      </c>
      <c r="L23" s="9"/>
    </row>
    <row r="24" customFormat="false" ht="15" hidden="false" customHeight="false" outlineLevel="0" collapsed="false">
      <c r="A24" s="8" t="n">
        <v>20</v>
      </c>
      <c r="B24" s="9"/>
      <c r="C24" s="9"/>
      <c r="D24" s="9"/>
      <c r="E24" s="9"/>
      <c r="F24" s="9"/>
      <c r="G24" s="9"/>
      <c r="H24" s="9"/>
      <c r="I24" s="9"/>
      <c r="J24" s="9"/>
      <c r="K24" s="10" t="str">
        <f aca="false">IF(H24&gt;0,I24/H24,"")</f>
        <v/>
      </c>
      <c r="L24" s="9"/>
    </row>
    <row r="26" customFormat="false" ht="52.2" hidden="false" customHeight="false" outlineLevel="0" collapsed="false">
      <c r="A26" s="11" t="s">
        <v>64</v>
      </c>
    </row>
    <row r="27" customFormat="false" ht="15" hidden="false" customHeight="false" outlineLevel="0" collapsed="false">
      <c r="B27" s="8" t="s">
        <v>65</v>
      </c>
      <c r="C27" s="8" t="n">
        <f aca="false">COUNTIF($E$5:$F$24,B27)</f>
        <v>0</v>
      </c>
    </row>
    <row r="28" customFormat="false" ht="15" hidden="false" customHeight="false" outlineLevel="0" collapsed="false">
      <c r="B28" s="8" t="s">
        <v>66</v>
      </c>
      <c r="C28" s="8" t="n">
        <f aca="false">COUNTIF($E$5:$F$24,B28)</f>
        <v>0</v>
      </c>
    </row>
    <row r="29" customFormat="false" ht="15" hidden="false" customHeight="false" outlineLevel="0" collapsed="false">
      <c r="B29" s="8" t="s">
        <v>67</v>
      </c>
      <c r="C29" s="8" t="n">
        <f aca="false">COUNTIF($E$5:$F$24,B29)</f>
        <v>0</v>
      </c>
    </row>
    <row r="30" customFormat="false" ht="15" hidden="false" customHeight="false" outlineLevel="0" collapsed="false">
      <c r="B30" s="8" t="s">
        <v>68</v>
      </c>
      <c r="C30" s="8" t="n">
        <f aca="false">COUNTIF($E$5:$F$24,B30)</f>
        <v>0</v>
      </c>
    </row>
    <row r="31" customFormat="false" ht="15" hidden="false" customHeight="false" outlineLevel="0" collapsed="false">
      <c r="B31" s="8" t="s">
        <v>69</v>
      </c>
      <c r="C31" s="8" t="n">
        <f aca="false">COUNTIF($E$5:$F$24,B31)</f>
        <v>0</v>
      </c>
    </row>
    <row r="32" customFormat="false" ht="15" hidden="false" customHeight="false" outlineLevel="0" collapsed="false">
      <c r="B32" s="8" t="s">
        <v>70</v>
      </c>
      <c r="C32" s="8" t="n">
        <f aca="false">COUNTIF($E$5:$F$24,B32)</f>
        <v>0</v>
      </c>
    </row>
    <row r="33" customFormat="false" ht="15" hidden="false" customHeight="false" outlineLevel="0" collapsed="false">
      <c r="B33" s="8" t="s">
        <v>71</v>
      </c>
      <c r="C33" s="8" t="n">
        <f aca="false">COUNTIF($E$5:$F$24,B33)</f>
        <v>0</v>
      </c>
    </row>
    <row r="34" customFormat="false" ht="15" hidden="false" customHeight="false" outlineLevel="0" collapsed="false">
      <c r="B34" s="8" t="s">
        <v>72</v>
      </c>
      <c r="C34" s="8" t="n">
        <f aca="false">COUNTIF($E$5:$F$24,B34)</f>
        <v>0</v>
      </c>
    </row>
    <row r="35" customFormat="false" ht="15" hidden="false" customHeight="false" outlineLevel="0" collapsed="false">
      <c r="B35" s="8" t="s">
        <v>73</v>
      </c>
      <c r="C35" s="8" t="n">
        <f aca="false">COUNTIF($E$5:$F$24,B35)</f>
        <v>0</v>
      </c>
    </row>
    <row r="36" customFormat="false" ht="15" hidden="false" customHeight="false" outlineLevel="0" collapsed="false">
      <c r="B36" s="8" t="s">
        <v>74</v>
      </c>
      <c r="C36" s="8" t="n">
        <f aca="false">COUNTIF($E$5:$F$24,B36)</f>
        <v>0</v>
      </c>
    </row>
    <row r="37" customFormat="false" ht="15" hidden="false" customHeight="false" outlineLevel="0" collapsed="false">
      <c r="B37" s="8" t="s">
        <v>75</v>
      </c>
      <c r="C37" s="8" t="n">
        <f aca="false">COUNTIF($E$5:$F$24,B37)</f>
        <v>0</v>
      </c>
    </row>
    <row r="38" customFormat="false" ht="15" hidden="false" customHeight="false" outlineLevel="0" collapsed="false">
      <c r="B38" s="8" t="s">
        <v>76</v>
      </c>
      <c r="C38" s="8" t="n">
        <f aca="false">COUNTIF($E$5:$F$24,B38)</f>
        <v>0</v>
      </c>
    </row>
    <row r="39" customFormat="false" ht="15" hidden="false" customHeight="false" outlineLevel="0" collapsed="false">
      <c r="B39" s="8" t="s">
        <v>77</v>
      </c>
      <c r="C39" s="8" t="n">
        <f aca="false">COUNTIF($E$5:$F$24,B39)</f>
        <v>0</v>
      </c>
    </row>
    <row r="40" customFormat="false" ht="15" hidden="false" customHeight="false" outlineLevel="0" collapsed="false">
      <c r="B40" s="8" t="s">
        <v>78</v>
      </c>
      <c r="C40" s="8" t="n">
        <f aca="false">COUNTIF($E$5:$F$24,B40)</f>
        <v>0</v>
      </c>
    </row>
    <row r="41" customFormat="false" ht="15" hidden="false" customHeight="false" outlineLevel="0" collapsed="false">
      <c r="B41" s="8" t="s">
        <v>79</v>
      </c>
      <c r="C41" s="8" t="n">
        <f aca="false">COUNTIF($E$5:$F$24,B41)</f>
        <v>0</v>
      </c>
    </row>
    <row r="42" customFormat="false" ht="15" hidden="false" customHeight="false" outlineLevel="0" collapsed="false">
      <c r="B42" s="8" t="s">
        <v>80</v>
      </c>
      <c r="C42" s="8" t="n">
        <f aca="false">COUNTIF($E$5:$F$24,B42)</f>
        <v>0</v>
      </c>
    </row>
    <row r="43" customFormat="false" ht="15" hidden="false" customHeight="false" outlineLevel="0" collapsed="false">
      <c r="B43" s="8" t="s">
        <v>81</v>
      </c>
      <c r="C43" s="8" t="n">
        <f aca="false">COUNTIF($E$5:$F$24,B43)</f>
        <v>0</v>
      </c>
    </row>
    <row r="44" customFormat="false" ht="15" hidden="false" customHeight="false" outlineLevel="0" collapsed="false">
      <c r="B44" s="8" t="s">
        <v>82</v>
      </c>
      <c r="C44" s="8" t="n">
        <f aca="false">COUNTIF($E$5:$F$24,B44)</f>
        <v>0</v>
      </c>
    </row>
    <row r="45" customFormat="false" ht="15" hidden="false" customHeight="false" outlineLevel="0" collapsed="false">
      <c r="B45" s="8" t="s">
        <v>83</v>
      </c>
      <c r="C45" s="8" t="n">
        <f aca="false">COUNTIF($E$5:$F$24,B45)</f>
        <v>0</v>
      </c>
    </row>
    <row r="46" customFormat="false" ht="15" hidden="false" customHeight="false" outlineLevel="0" collapsed="false">
      <c r="B46" s="8" t="s">
        <v>84</v>
      </c>
      <c r="C46" s="8" t="n">
        <f aca="false">COUNTIF($E$5:$F$24,B46)</f>
        <v>0</v>
      </c>
    </row>
  </sheetData>
  <dataValidations count="2">
    <dataValidation allowBlank="true" errorStyle="stop" operator="between" showDropDown="false" showErrorMessage="false" showInputMessage="false" sqref="E5:F24" type="list">
      <formula1>_lists!$A$1:$A$20</formula1>
      <formula2>0</formula2>
    </dataValidation>
    <dataValidation allowBlank="true" errorStyle="stop" operator="between" showDropDown="false" showErrorMessage="false" showInputMessage="false" sqref="G5:G24" type="list">
      <formula1>"An toàn,Rủi ro,Vi phạm"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4"/>
    <col collapsed="false" customWidth="true" hidden="false" outlineLevel="0" max="3" min="3" style="0" width="28"/>
    <col collapsed="false" customWidth="true" hidden="false" outlineLevel="0" max="4" min="4" style="0" width="18"/>
    <col collapsed="false" customWidth="true" hidden="false" outlineLevel="0" max="5" min="5" style="0" width="26"/>
    <col collapsed="false" customWidth="true" hidden="false" outlineLevel="0" max="7" min="6" style="0" width="11"/>
    <col collapsed="false" customWidth="true" hidden="false" outlineLevel="0" max="8" min="8" style="0" width="12"/>
    <col collapsed="false" customWidth="true" hidden="false" outlineLevel="0" max="9" min="9" style="0" width="18"/>
    <col collapsed="false" customWidth="true" hidden="false" outlineLevel="0" max="10" min="10" style="0" width="12"/>
  </cols>
  <sheetData>
    <row r="1" customFormat="false" ht="17.35" hidden="false" customHeight="false" outlineLevel="0" collapsed="false">
      <c r="A1" s="5" t="s">
        <v>7</v>
      </c>
    </row>
    <row r="2" customFormat="false" ht="15" hidden="false" customHeight="false" outlineLevel="0" collapsed="false">
      <c r="A2" s="6" t="s">
        <v>85</v>
      </c>
    </row>
    <row r="4" customFormat="false" ht="23.85" hidden="false" customHeight="false" outlineLevel="0" collapsed="false">
      <c r="A4" s="7" t="s">
        <v>57</v>
      </c>
      <c r="B4" s="7" t="s">
        <v>31</v>
      </c>
      <c r="C4" s="7" t="s">
        <v>86</v>
      </c>
      <c r="D4" s="7" t="s">
        <v>87</v>
      </c>
      <c r="E4" s="7" t="s">
        <v>88</v>
      </c>
      <c r="F4" s="7" t="s">
        <v>89</v>
      </c>
      <c r="G4" s="7" t="s">
        <v>90</v>
      </c>
      <c r="H4" s="7" t="s">
        <v>91</v>
      </c>
      <c r="I4" s="7" t="s">
        <v>92</v>
      </c>
      <c r="J4" s="7" t="s">
        <v>93</v>
      </c>
    </row>
    <row r="5" customFormat="false" ht="23.85" hidden="false" customHeight="false" outlineLevel="0" collapsed="false">
      <c r="A5" s="8" t="s">
        <v>94</v>
      </c>
      <c r="B5" s="8" t="s">
        <v>95</v>
      </c>
      <c r="C5" s="8" t="s">
        <v>96</v>
      </c>
      <c r="D5" s="8" t="s">
        <v>97</v>
      </c>
      <c r="E5" s="8" t="s">
        <v>98</v>
      </c>
      <c r="F5" s="9"/>
      <c r="G5" s="9"/>
      <c r="H5" s="12" t="str">
        <f aca="false">IF(AND(ISNUMBER(F5),F5&lt;&gt;0,ISNUMBER(G5)),G5/F5-1,"")</f>
        <v/>
      </c>
      <c r="I5" s="9"/>
      <c r="J5" s="9"/>
    </row>
    <row r="6" customFormat="false" ht="23.85" hidden="false" customHeight="false" outlineLevel="0" collapsed="false">
      <c r="A6" s="8" t="s">
        <v>99</v>
      </c>
      <c r="B6" s="8" t="s">
        <v>100</v>
      </c>
      <c r="C6" s="8" t="s">
        <v>101</v>
      </c>
      <c r="D6" s="8" t="s">
        <v>102</v>
      </c>
      <c r="E6" s="8" t="s">
        <v>103</v>
      </c>
      <c r="F6" s="9"/>
      <c r="G6" s="9"/>
      <c r="H6" s="12" t="str">
        <f aca="false">IF(AND(ISNUMBER(F6),F6&lt;&gt;0,ISNUMBER(G6)),G6/F6-1,"")</f>
        <v/>
      </c>
      <c r="I6" s="9"/>
      <c r="J6" s="9"/>
    </row>
    <row r="7" customFormat="false" ht="23.85" hidden="false" customHeight="false" outlineLevel="0" collapsed="false">
      <c r="A7" s="8" t="s">
        <v>104</v>
      </c>
      <c r="B7" s="8" t="s">
        <v>105</v>
      </c>
      <c r="C7" s="8" t="s">
        <v>106</v>
      </c>
      <c r="D7" s="8" t="s">
        <v>107</v>
      </c>
      <c r="E7" s="8" t="s">
        <v>108</v>
      </c>
      <c r="F7" s="9"/>
      <c r="G7" s="9"/>
      <c r="H7" s="12" t="str">
        <f aca="false">IF(AND(ISNUMBER(F7),F7&lt;&gt;0,ISNUMBER(G7)),G7/F7-1,"")</f>
        <v/>
      </c>
      <c r="I7" s="9"/>
      <c r="J7" s="9"/>
    </row>
    <row r="8" customFormat="false" ht="23.85" hidden="false" customHeight="false" outlineLevel="0" collapsed="false">
      <c r="A8" s="8" t="s">
        <v>109</v>
      </c>
      <c r="B8" s="8" t="s">
        <v>110</v>
      </c>
      <c r="C8" s="8" t="s">
        <v>111</v>
      </c>
      <c r="D8" s="8" t="s">
        <v>112</v>
      </c>
      <c r="E8" s="8" t="s">
        <v>113</v>
      </c>
      <c r="F8" s="9"/>
      <c r="G8" s="9"/>
      <c r="H8" s="12" t="str">
        <f aca="false">IF(AND(ISNUMBER(F8),F8&lt;&gt;0,ISNUMBER(G8)),G8/F8-1,"")</f>
        <v/>
      </c>
      <c r="I8" s="9"/>
      <c r="J8" s="9"/>
    </row>
    <row r="9" customFormat="false" ht="23.85" hidden="false" customHeight="false" outlineLevel="0" collapsed="false">
      <c r="A9" s="8" t="s">
        <v>114</v>
      </c>
      <c r="B9" s="8" t="s">
        <v>115</v>
      </c>
      <c r="C9" s="8" t="s">
        <v>116</v>
      </c>
      <c r="D9" s="8" t="s">
        <v>117</v>
      </c>
      <c r="E9" s="8" t="s">
        <v>118</v>
      </c>
      <c r="F9" s="9"/>
      <c r="G9" s="9"/>
      <c r="H9" s="12" t="str">
        <f aca="false">IF(AND(ISNUMBER(F9),F9&lt;&gt;0,ISNUMBER(G9)),G9/F9-1,"")</f>
        <v/>
      </c>
      <c r="I9" s="9"/>
      <c r="J9" s="9"/>
    </row>
  </sheetData>
  <dataValidations count="1">
    <dataValidation allowBlank="true" errorStyle="stop" operator="between" showDropDown="false" showErrorMessage="false" showInputMessage="false" sqref="I5:I9" type="list">
      <formula1>"Chọn A,Chọn B,Chạy lại,Không kết luận"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5" min="4" style="0" width="16"/>
    <col collapsed="false" customWidth="true" hidden="false" outlineLevel="0" max="9" min="6" style="0" width="12"/>
    <col collapsed="false" customWidth="true" hidden="false" outlineLevel="0" max="10" min="10" style="0" width="10"/>
    <col collapsed="false" customWidth="true" hidden="false" outlineLevel="0" max="16" min="12" style="0" width="14"/>
  </cols>
  <sheetData>
    <row r="1" customFormat="false" ht="17.35" hidden="false" customHeight="false" outlineLevel="0" collapsed="false">
      <c r="A1" s="5" t="s">
        <v>9</v>
      </c>
    </row>
    <row r="2" customFormat="false" ht="15" hidden="false" customHeight="false" outlineLevel="0" collapsed="false">
      <c r="A2" s="6" t="s">
        <v>119</v>
      </c>
    </row>
    <row r="4" customFormat="false" ht="23.85" hidden="false" customHeight="false" outlineLevel="0" collapsed="false">
      <c r="A4" s="7" t="s">
        <v>57</v>
      </c>
      <c r="B4" s="7" t="s">
        <v>120</v>
      </c>
      <c r="C4" s="7" t="s">
        <v>121</v>
      </c>
      <c r="D4" s="7" t="s">
        <v>122</v>
      </c>
      <c r="E4" s="7" t="s">
        <v>123</v>
      </c>
      <c r="F4" s="7" t="s">
        <v>124</v>
      </c>
      <c r="G4" s="7" t="s">
        <v>125</v>
      </c>
      <c r="H4" s="7" t="s">
        <v>126</v>
      </c>
      <c r="I4" s="7" t="s">
        <v>127</v>
      </c>
      <c r="J4" s="7" t="s">
        <v>128</v>
      </c>
      <c r="L4" s="13" t="s">
        <v>129</v>
      </c>
      <c r="M4" s="14" t="s">
        <v>130</v>
      </c>
      <c r="N4" s="14" t="s">
        <v>131</v>
      </c>
      <c r="O4" s="14" t="s">
        <v>132</v>
      </c>
    </row>
    <row r="5" customFormat="false" ht="15" hidden="false" customHeight="false" outlineLevel="0" collapsed="false">
      <c r="A5" s="8" t="n">
        <v>1</v>
      </c>
      <c r="B5" s="9"/>
      <c r="C5" s="9"/>
      <c r="D5" s="9"/>
      <c r="E5" s="9"/>
      <c r="F5" s="9"/>
      <c r="G5" s="9"/>
      <c r="H5" s="9"/>
      <c r="I5" s="9"/>
      <c r="J5" s="8" t="str">
        <f aca="false">IF(COUNT(B5:E5)&lt;4,"",IF(AND(B5&lt;=C5,C5&lt;=D5,D5&lt;=E5),"OK","Loại"))</f>
        <v/>
      </c>
      <c r="L5" s="8" t="s">
        <v>133</v>
      </c>
      <c r="M5" s="9"/>
      <c r="N5" s="15" t="str">
        <f aca="false">IFERROR(AVERAGE(F5:F154),"")</f>
        <v/>
      </c>
      <c r="O5" s="16" t="str">
        <f aca="false">IF(ISNUMBER(N5),M5*N5,"")</f>
        <v/>
      </c>
    </row>
    <row r="6" customFormat="false" ht="15" hidden="false" customHeight="false" outlineLevel="0" collapsed="false">
      <c r="A6" s="8" t="n">
        <v>2</v>
      </c>
      <c r="B6" s="9"/>
      <c r="C6" s="9"/>
      <c r="D6" s="9"/>
      <c r="E6" s="9"/>
      <c r="F6" s="9"/>
      <c r="G6" s="9"/>
      <c r="H6" s="9"/>
      <c r="I6" s="9"/>
      <c r="J6" s="8" t="str">
        <f aca="false">IF(COUNT(B6:E6)&lt;4,"",IF(AND(B6&lt;=C6,C6&lt;=D6,D6&lt;=E6),"OK","Loại"))</f>
        <v/>
      </c>
      <c r="L6" s="8" t="s">
        <v>134</v>
      </c>
      <c r="M6" s="9"/>
      <c r="N6" s="15" t="str">
        <f aca="false">IFERROR(AVERAGE(G5:G154),"")</f>
        <v/>
      </c>
      <c r="O6" s="16" t="str">
        <f aca="false">IF(ISNUMBER(N6),M6*N6,"")</f>
        <v/>
      </c>
    </row>
    <row r="7" customFormat="false" ht="15" hidden="false" customHeight="false" outlineLevel="0" collapsed="false">
      <c r="A7" s="8" t="n">
        <v>3</v>
      </c>
      <c r="B7" s="9"/>
      <c r="C7" s="9"/>
      <c r="D7" s="9"/>
      <c r="E7" s="9"/>
      <c r="F7" s="9"/>
      <c r="G7" s="9"/>
      <c r="H7" s="9"/>
      <c r="I7" s="9"/>
      <c r="J7" s="8" t="str">
        <f aca="false">IF(COUNT(B7:E7)&lt;4,"",IF(AND(B7&lt;=C7,C7&lt;=D7,D7&lt;=E7),"OK","Loại"))</f>
        <v/>
      </c>
      <c r="L7" s="8" t="s">
        <v>135</v>
      </c>
      <c r="M7" s="9"/>
      <c r="N7" s="15" t="str">
        <f aca="false">IFERROR(AVERAGE(H5:H154),"")</f>
        <v/>
      </c>
      <c r="O7" s="16" t="str">
        <f aca="false">IF(ISNUMBER(N7),M7*N7,"")</f>
        <v/>
      </c>
    </row>
    <row r="8" customFormat="false" ht="15" hidden="false" customHeight="false" outlineLevel="0" collapsed="false">
      <c r="A8" s="8" t="n">
        <v>4</v>
      </c>
      <c r="B8" s="9"/>
      <c r="C8" s="9"/>
      <c r="D8" s="9"/>
      <c r="E8" s="9"/>
      <c r="F8" s="9"/>
      <c r="G8" s="9"/>
      <c r="H8" s="9"/>
      <c r="I8" s="9"/>
      <c r="J8" s="8" t="str">
        <f aca="false">IF(COUNT(B8:E8)&lt;4,"",IF(AND(B8&lt;=C8,C8&lt;=D8,D8&lt;=E8),"OK","Loại"))</f>
        <v/>
      </c>
      <c r="L8" s="8" t="s">
        <v>136</v>
      </c>
      <c r="M8" s="9"/>
      <c r="N8" s="15" t="str">
        <f aca="false">IFERROR(AVERAGE(I5:I154),"")</f>
        <v/>
      </c>
      <c r="O8" s="16" t="str">
        <f aca="false">IF(ISNUMBER(N8),M8*N8,"")</f>
        <v/>
      </c>
    </row>
    <row r="9" customFormat="false" ht="15" hidden="false" customHeight="false" outlineLevel="0" collapsed="false">
      <c r="A9" s="8" t="n">
        <v>5</v>
      </c>
      <c r="B9" s="9"/>
      <c r="C9" s="9"/>
      <c r="D9" s="9"/>
      <c r="E9" s="9"/>
      <c r="F9" s="9"/>
      <c r="G9" s="9"/>
      <c r="H9" s="9"/>
      <c r="I9" s="9"/>
      <c r="J9" s="8" t="str">
        <f aca="false">IF(COUNT(B9:E9)&lt;4,"",IF(AND(B9&lt;=C9,C9&lt;=D9,D9&lt;=E9),"OK","Loại"))</f>
        <v/>
      </c>
    </row>
    <row r="10" customFormat="false" ht="15" hidden="false" customHeight="false" outlineLevel="0" collapsed="false">
      <c r="A10" s="8" t="n">
        <v>6</v>
      </c>
      <c r="B10" s="9"/>
      <c r="C10" s="9"/>
      <c r="D10" s="9"/>
      <c r="E10" s="9"/>
      <c r="F10" s="9"/>
      <c r="G10" s="9"/>
      <c r="H10" s="9"/>
      <c r="I10" s="9"/>
      <c r="J10" s="8" t="str">
        <f aca="false">IF(COUNT(B10:E10)&lt;4,"",IF(AND(B10&lt;=C10,C10&lt;=D10,D10&lt;=E10),"OK","Loại"))</f>
        <v/>
      </c>
    </row>
    <row r="11" customFormat="false" ht="15" hidden="false" customHeight="false" outlineLevel="0" collapsed="false">
      <c r="A11" s="8" t="n">
        <v>7</v>
      </c>
      <c r="B11" s="9"/>
      <c r="C11" s="9"/>
      <c r="D11" s="9"/>
      <c r="E11" s="9"/>
      <c r="F11" s="9"/>
      <c r="G11" s="9"/>
      <c r="H11" s="9"/>
      <c r="I11" s="9"/>
      <c r="J11" s="8" t="str">
        <f aca="false">IF(COUNT(B11:E11)&lt;4,"",IF(AND(B11&lt;=C11,C11&lt;=D11,D11&lt;=E11),"OK","Loại"))</f>
        <v/>
      </c>
      <c r="L11" s="13" t="s">
        <v>137</v>
      </c>
    </row>
    <row r="12" customFormat="false" ht="15" hidden="false" customHeight="false" outlineLevel="0" collapsed="false">
      <c r="A12" s="8" t="n">
        <v>8</v>
      </c>
      <c r="B12" s="9"/>
      <c r="C12" s="9"/>
      <c r="D12" s="9"/>
      <c r="E12" s="9"/>
      <c r="F12" s="9"/>
      <c r="G12" s="9"/>
      <c r="H12" s="9"/>
      <c r="I12" s="9"/>
      <c r="J12" s="8" t="str">
        <f aca="false">IF(COUNT(B12:E12)&lt;4,"",IF(AND(B12&lt;=C12,C12&lt;=D12,D12&lt;=E12),"OK","Loại"))</f>
        <v/>
      </c>
      <c r="L12" s="11" t="s">
        <v>138</v>
      </c>
      <c r="M12" s="11" t="s">
        <v>139</v>
      </c>
      <c r="N12" s="11" t="s">
        <v>140</v>
      </c>
      <c r="O12" s="11" t="s">
        <v>141</v>
      </c>
      <c r="P12" s="11" t="s">
        <v>142</v>
      </c>
    </row>
    <row r="13" customFormat="false" ht="15" hidden="false" customHeight="false" outlineLevel="0" collapsed="false">
      <c r="A13" s="8" t="n">
        <v>9</v>
      </c>
      <c r="B13" s="9"/>
      <c r="C13" s="9"/>
      <c r="D13" s="9"/>
      <c r="E13" s="9"/>
      <c r="F13" s="9"/>
      <c r="G13" s="9"/>
      <c r="H13" s="9"/>
      <c r="I13" s="9"/>
      <c r="J13" s="8" t="str">
        <f aca="false">IF(COUNT(B13:E13)&lt;4,"",IF(AND(B13&lt;=C13,C13&lt;=D13,D13&lt;=E13),"OK","Loại"))</f>
        <v/>
      </c>
      <c r="L13" s="2" t="s">
        <v>143</v>
      </c>
    </row>
    <row r="14" customFormat="false" ht="15" hidden="false" customHeight="false" outlineLevel="0" collapsed="false">
      <c r="A14" s="8" t="n">
        <v>10</v>
      </c>
      <c r="B14" s="9"/>
      <c r="C14" s="9"/>
      <c r="D14" s="9"/>
      <c r="E14" s="9"/>
      <c r="F14" s="9"/>
      <c r="G14" s="9"/>
      <c r="H14" s="9"/>
      <c r="I14" s="9"/>
      <c r="J14" s="8" t="str">
        <f aca="false">IF(COUNT(B14:E14)&lt;4,"",IF(AND(B14&lt;=C14,C14&lt;=D14,D14&lt;=E14),"OK","Loại"))</f>
        <v/>
      </c>
      <c r="L14" s="9"/>
      <c r="M14" s="15" t="str">
        <f aca="false">IF(OR(L14="",COUNTIF($J$5:$J$154,"OK")=0),"",COUNTIFS($B$5:$B$154,"&gt;="&amp;L14,$J$5:$J$154,"OK")/COUNTIF($J$5:$J$154,"OK"))</f>
        <v/>
      </c>
      <c r="N14" s="15" t="str">
        <f aca="false">IF(OR(L14="",COUNTIF($J$5:$J$154,"OK")=0),"",COUNTIFS($C$5:$C$154,"&gt;="&amp;L14,$J$5:$J$154,"OK")/COUNTIF($J$5:$J$154,"OK"))</f>
        <v/>
      </c>
      <c r="O14" s="15" t="str">
        <f aca="false">IF(OR(L14="",COUNTIF($J$5:$J$154,"OK")=0),"",COUNTIFS($D$5:$D$154,"&lt;="&amp;L14,$J$5:$J$154,"OK")/COUNTIF($J$5:$J$154,"OK"))</f>
        <v/>
      </c>
      <c r="P14" s="15" t="str">
        <f aca="false">IF(OR(L14="",COUNTIF($J$5:$J$154,"OK")=0),"",COUNTIFS($E$5:$E$154,"&lt;="&amp;L14,$J$5:$J$154,"OK")/COUNTIF($J$5:$J$154,"OK"))</f>
        <v/>
      </c>
    </row>
    <row r="15" customFormat="false" ht="15" hidden="false" customHeight="false" outlineLevel="0" collapsed="false">
      <c r="A15" s="8" t="n">
        <v>11</v>
      </c>
      <c r="B15" s="9"/>
      <c r="C15" s="9"/>
      <c r="D15" s="9"/>
      <c r="E15" s="9"/>
      <c r="F15" s="9"/>
      <c r="G15" s="9"/>
      <c r="H15" s="9"/>
      <c r="I15" s="9"/>
      <c r="J15" s="8" t="str">
        <f aca="false">IF(COUNT(B15:E15)&lt;4,"",IF(AND(B15&lt;=C15,C15&lt;=D15,D15&lt;=E15),"OK","Loại"))</f>
        <v/>
      </c>
      <c r="L15" s="9"/>
      <c r="M15" s="15" t="str">
        <f aca="false">IF(OR(L15="",COUNTIF($J$5:$J$154,"OK")=0),"",COUNTIFS($B$5:$B$154,"&gt;="&amp;L15,$J$5:$J$154,"OK")/COUNTIF($J$5:$J$154,"OK"))</f>
        <v/>
      </c>
      <c r="N15" s="15" t="str">
        <f aca="false">IF(OR(L15="",COUNTIF($J$5:$J$154,"OK")=0),"",COUNTIFS($C$5:$C$154,"&gt;="&amp;L15,$J$5:$J$154,"OK")/COUNTIF($J$5:$J$154,"OK"))</f>
        <v/>
      </c>
      <c r="O15" s="15" t="str">
        <f aca="false">IF(OR(L15="",COUNTIF($J$5:$J$154,"OK")=0),"",COUNTIFS($D$5:$D$154,"&lt;="&amp;L15,$J$5:$J$154,"OK")/COUNTIF($J$5:$J$154,"OK"))</f>
        <v/>
      </c>
      <c r="P15" s="15" t="str">
        <f aca="false">IF(OR(L15="",COUNTIF($J$5:$J$154,"OK")=0),"",COUNTIFS($E$5:$E$154,"&lt;="&amp;L15,$J$5:$J$154,"OK")/COUNTIF($J$5:$J$154,"OK"))</f>
        <v/>
      </c>
    </row>
    <row r="16" customFormat="false" ht="15" hidden="false" customHeight="false" outlineLevel="0" collapsed="false">
      <c r="A16" s="8" t="n">
        <v>12</v>
      </c>
      <c r="B16" s="9"/>
      <c r="C16" s="9"/>
      <c r="D16" s="9"/>
      <c r="E16" s="9"/>
      <c r="F16" s="9"/>
      <c r="G16" s="9"/>
      <c r="H16" s="9"/>
      <c r="I16" s="9"/>
      <c r="J16" s="8" t="str">
        <f aca="false">IF(COUNT(B16:E16)&lt;4,"",IF(AND(B16&lt;=C16,C16&lt;=D16,D16&lt;=E16),"OK","Loại"))</f>
        <v/>
      </c>
      <c r="L16" s="9"/>
      <c r="M16" s="15" t="str">
        <f aca="false">IF(OR(L16="",COUNTIF($J$5:$J$154,"OK")=0),"",COUNTIFS($B$5:$B$154,"&gt;="&amp;L16,$J$5:$J$154,"OK")/COUNTIF($J$5:$J$154,"OK"))</f>
        <v/>
      </c>
      <c r="N16" s="15" t="str">
        <f aca="false">IF(OR(L16="",COUNTIF($J$5:$J$154,"OK")=0),"",COUNTIFS($C$5:$C$154,"&gt;="&amp;L16,$J$5:$J$154,"OK")/COUNTIF($J$5:$J$154,"OK"))</f>
        <v/>
      </c>
      <c r="O16" s="15" t="str">
        <f aca="false">IF(OR(L16="",COUNTIF($J$5:$J$154,"OK")=0),"",COUNTIFS($D$5:$D$154,"&lt;="&amp;L16,$J$5:$J$154,"OK")/COUNTIF($J$5:$J$154,"OK"))</f>
        <v/>
      </c>
      <c r="P16" s="15" t="str">
        <f aca="false">IF(OR(L16="",COUNTIF($J$5:$J$154,"OK")=0),"",COUNTIFS($E$5:$E$154,"&lt;="&amp;L16,$J$5:$J$154,"OK")/COUNTIF($J$5:$J$154,"OK"))</f>
        <v/>
      </c>
    </row>
    <row r="17" customFormat="false" ht="15" hidden="false" customHeight="false" outlineLevel="0" collapsed="false">
      <c r="A17" s="8" t="n">
        <v>13</v>
      </c>
      <c r="B17" s="9"/>
      <c r="C17" s="9"/>
      <c r="D17" s="9"/>
      <c r="E17" s="9"/>
      <c r="F17" s="9"/>
      <c r="G17" s="9"/>
      <c r="H17" s="9"/>
      <c r="I17" s="9"/>
      <c r="J17" s="8" t="str">
        <f aca="false">IF(COUNT(B17:E17)&lt;4,"",IF(AND(B17&lt;=C17,C17&lt;=D17,D17&lt;=E17),"OK","Loại"))</f>
        <v/>
      </c>
      <c r="L17" s="9"/>
      <c r="M17" s="15" t="str">
        <f aca="false">IF(OR(L17="",COUNTIF($J$5:$J$154,"OK")=0),"",COUNTIFS($B$5:$B$154,"&gt;="&amp;L17,$J$5:$J$154,"OK")/COUNTIF($J$5:$J$154,"OK"))</f>
        <v/>
      </c>
      <c r="N17" s="15" t="str">
        <f aca="false">IF(OR(L17="",COUNTIF($J$5:$J$154,"OK")=0),"",COUNTIFS($C$5:$C$154,"&gt;="&amp;L17,$J$5:$J$154,"OK")/COUNTIF($J$5:$J$154,"OK"))</f>
        <v/>
      </c>
      <c r="O17" s="15" t="str">
        <f aca="false">IF(OR(L17="",COUNTIF($J$5:$J$154,"OK")=0),"",COUNTIFS($D$5:$D$154,"&lt;="&amp;L17,$J$5:$J$154,"OK")/COUNTIF($J$5:$J$154,"OK"))</f>
        <v/>
      </c>
      <c r="P17" s="15" t="str">
        <f aca="false">IF(OR(L17="",COUNTIF($J$5:$J$154,"OK")=0),"",COUNTIFS($E$5:$E$154,"&lt;="&amp;L17,$J$5:$J$154,"OK")/COUNTIF($J$5:$J$154,"OK"))</f>
        <v/>
      </c>
    </row>
    <row r="18" customFormat="false" ht="15" hidden="false" customHeight="false" outlineLevel="0" collapsed="false">
      <c r="A18" s="8" t="n">
        <v>14</v>
      </c>
      <c r="B18" s="9"/>
      <c r="C18" s="9"/>
      <c r="D18" s="9"/>
      <c r="E18" s="9"/>
      <c r="F18" s="9"/>
      <c r="G18" s="9"/>
      <c r="H18" s="9"/>
      <c r="I18" s="9"/>
      <c r="J18" s="8" t="str">
        <f aca="false">IF(COUNT(B18:E18)&lt;4,"",IF(AND(B18&lt;=C18,C18&lt;=D18,D18&lt;=E18),"OK","Loại"))</f>
        <v/>
      </c>
      <c r="L18" s="9"/>
      <c r="M18" s="15" t="str">
        <f aca="false">IF(OR(L18="",COUNTIF($J$5:$J$154,"OK")=0),"",COUNTIFS($B$5:$B$154,"&gt;="&amp;L18,$J$5:$J$154,"OK")/COUNTIF($J$5:$J$154,"OK"))</f>
        <v/>
      </c>
      <c r="N18" s="15" t="str">
        <f aca="false">IF(OR(L18="",COUNTIF($J$5:$J$154,"OK")=0),"",COUNTIFS($C$5:$C$154,"&gt;="&amp;L18,$J$5:$J$154,"OK")/COUNTIF($J$5:$J$154,"OK"))</f>
        <v/>
      </c>
      <c r="O18" s="15" t="str">
        <f aca="false">IF(OR(L18="",COUNTIF($J$5:$J$154,"OK")=0),"",COUNTIFS($D$5:$D$154,"&lt;="&amp;L18,$J$5:$J$154,"OK")/COUNTIF($J$5:$J$154,"OK"))</f>
        <v/>
      </c>
      <c r="P18" s="15" t="str">
        <f aca="false">IF(OR(L18="",COUNTIF($J$5:$J$154,"OK")=0),"",COUNTIFS($E$5:$E$154,"&lt;="&amp;L18,$J$5:$J$154,"OK")/COUNTIF($J$5:$J$154,"OK"))</f>
        <v/>
      </c>
    </row>
    <row r="19" customFormat="false" ht="15" hidden="false" customHeight="false" outlineLevel="0" collapsed="false">
      <c r="A19" s="8" t="n">
        <v>15</v>
      </c>
      <c r="B19" s="9"/>
      <c r="C19" s="9"/>
      <c r="D19" s="9"/>
      <c r="E19" s="9"/>
      <c r="F19" s="9"/>
      <c r="G19" s="9"/>
      <c r="H19" s="9"/>
      <c r="I19" s="9"/>
      <c r="J19" s="8" t="str">
        <f aca="false">IF(COUNT(B19:E19)&lt;4,"",IF(AND(B19&lt;=C19,C19&lt;=D19,D19&lt;=E19),"OK","Loại"))</f>
        <v/>
      </c>
      <c r="L19" s="9"/>
      <c r="M19" s="15" t="str">
        <f aca="false">IF(OR(L19="",COUNTIF($J$5:$J$154,"OK")=0),"",COUNTIFS($B$5:$B$154,"&gt;="&amp;L19,$J$5:$J$154,"OK")/COUNTIF($J$5:$J$154,"OK"))</f>
        <v/>
      </c>
      <c r="N19" s="15" t="str">
        <f aca="false">IF(OR(L19="",COUNTIF($J$5:$J$154,"OK")=0),"",COUNTIFS($C$5:$C$154,"&gt;="&amp;L19,$J$5:$J$154,"OK")/COUNTIF($J$5:$J$154,"OK"))</f>
        <v/>
      </c>
      <c r="O19" s="15" t="str">
        <f aca="false">IF(OR(L19="",COUNTIF($J$5:$J$154,"OK")=0),"",COUNTIFS($D$5:$D$154,"&lt;="&amp;L19,$J$5:$J$154,"OK")/COUNTIF($J$5:$J$154,"OK"))</f>
        <v/>
      </c>
      <c r="P19" s="15" t="str">
        <f aca="false">IF(OR(L19="",COUNTIF($J$5:$J$154,"OK")=0),"",COUNTIFS($E$5:$E$154,"&lt;="&amp;L19,$J$5:$J$154,"OK")/COUNTIF($J$5:$J$154,"OK"))</f>
        <v/>
      </c>
    </row>
    <row r="20" customFormat="false" ht="15" hidden="false" customHeight="false" outlineLevel="0" collapsed="false">
      <c r="A20" s="8" t="n">
        <v>16</v>
      </c>
      <c r="B20" s="9"/>
      <c r="C20" s="9"/>
      <c r="D20" s="9"/>
      <c r="E20" s="9"/>
      <c r="F20" s="9"/>
      <c r="G20" s="9"/>
      <c r="H20" s="9"/>
      <c r="I20" s="9"/>
      <c r="J20" s="8" t="str">
        <f aca="false">IF(COUNT(B20:E20)&lt;4,"",IF(AND(B20&lt;=C20,C20&lt;=D20,D20&lt;=E20),"OK","Loại"))</f>
        <v/>
      </c>
      <c r="L20" s="9"/>
      <c r="M20" s="15" t="str">
        <f aca="false">IF(OR(L20="",COUNTIF($J$5:$J$154,"OK")=0),"",COUNTIFS($B$5:$B$154,"&gt;="&amp;L20,$J$5:$J$154,"OK")/COUNTIF($J$5:$J$154,"OK"))</f>
        <v/>
      </c>
      <c r="N20" s="15" t="str">
        <f aca="false">IF(OR(L20="",COUNTIF($J$5:$J$154,"OK")=0),"",COUNTIFS($C$5:$C$154,"&gt;="&amp;L20,$J$5:$J$154,"OK")/COUNTIF($J$5:$J$154,"OK"))</f>
        <v/>
      </c>
      <c r="O20" s="15" t="str">
        <f aca="false">IF(OR(L20="",COUNTIF($J$5:$J$154,"OK")=0),"",COUNTIFS($D$5:$D$154,"&lt;="&amp;L20,$J$5:$J$154,"OK")/COUNTIF($J$5:$J$154,"OK"))</f>
        <v/>
      </c>
      <c r="P20" s="15" t="str">
        <f aca="false">IF(OR(L20="",COUNTIF($J$5:$J$154,"OK")=0),"",COUNTIFS($E$5:$E$154,"&lt;="&amp;L20,$J$5:$J$154,"OK")/COUNTIF($J$5:$J$154,"OK"))</f>
        <v/>
      </c>
    </row>
    <row r="21" customFormat="false" ht="15" hidden="false" customHeight="false" outlineLevel="0" collapsed="false">
      <c r="A21" s="8" t="n">
        <v>17</v>
      </c>
      <c r="B21" s="9"/>
      <c r="C21" s="9"/>
      <c r="D21" s="9"/>
      <c r="E21" s="9"/>
      <c r="F21" s="9"/>
      <c r="G21" s="9"/>
      <c r="H21" s="9"/>
      <c r="I21" s="9"/>
      <c r="J21" s="8" t="str">
        <f aca="false">IF(COUNT(B21:E21)&lt;4,"",IF(AND(B21&lt;=C21,C21&lt;=D21,D21&lt;=E21),"OK","Loại"))</f>
        <v/>
      </c>
      <c r="L21" s="9"/>
      <c r="M21" s="15" t="str">
        <f aca="false">IF(OR(L21="",COUNTIF($J$5:$J$154,"OK")=0),"",COUNTIFS($B$5:$B$154,"&gt;="&amp;L21,$J$5:$J$154,"OK")/COUNTIF($J$5:$J$154,"OK"))</f>
        <v/>
      </c>
      <c r="N21" s="15" t="str">
        <f aca="false">IF(OR(L21="",COUNTIF($J$5:$J$154,"OK")=0),"",COUNTIFS($C$5:$C$154,"&gt;="&amp;L21,$J$5:$J$154,"OK")/COUNTIF($J$5:$J$154,"OK"))</f>
        <v/>
      </c>
      <c r="O21" s="15" t="str">
        <f aca="false">IF(OR(L21="",COUNTIF($J$5:$J$154,"OK")=0),"",COUNTIFS($D$5:$D$154,"&lt;="&amp;L21,$J$5:$J$154,"OK")/COUNTIF($J$5:$J$154,"OK"))</f>
        <v/>
      </c>
      <c r="P21" s="15" t="str">
        <f aca="false">IF(OR(L21="",COUNTIF($J$5:$J$154,"OK")=0),"",COUNTIFS($E$5:$E$154,"&lt;="&amp;L21,$J$5:$J$154,"OK")/COUNTIF($J$5:$J$154,"OK"))</f>
        <v/>
      </c>
    </row>
    <row r="22" customFormat="false" ht="15" hidden="false" customHeight="false" outlineLevel="0" collapsed="false">
      <c r="A22" s="8" t="n">
        <v>18</v>
      </c>
      <c r="B22" s="9"/>
      <c r="C22" s="9"/>
      <c r="D22" s="9"/>
      <c r="E22" s="9"/>
      <c r="F22" s="9"/>
      <c r="G22" s="9"/>
      <c r="H22" s="9"/>
      <c r="I22" s="9"/>
      <c r="J22" s="8" t="str">
        <f aca="false">IF(COUNT(B22:E22)&lt;4,"",IF(AND(B22&lt;=C22,C22&lt;=D22,D22&lt;=E22),"OK","Loại"))</f>
        <v/>
      </c>
      <c r="L22" s="9"/>
      <c r="M22" s="15" t="str">
        <f aca="false">IF(OR(L22="",COUNTIF($J$5:$J$154,"OK")=0),"",COUNTIFS($B$5:$B$154,"&gt;="&amp;L22,$J$5:$J$154,"OK")/COUNTIF($J$5:$J$154,"OK"))</f>
        <v/>
      </c>
      <c r="N22" s="15" t="str">
        <f aca="false">IF(OR(L22="",COUNTIF($J$5:$J$154,"OK")=0),"",COUNTIFS($C$5:$C$154,"&gt;="&amp;L22,$J$5:$J$154,"OK")/COUNTIF($J$5:$J$154,"OK"))</f>
        <v/>
      </c>
      <c r="O22" s="15" t="str">
        <f aca="false">IF(OR(L22="",COUNTIF($J$5:$J$154,"OK")=0),"",COUNTIFS($D$5:$D$154,"&lt;="&amp;L22,$J$5:$J$154,"OK")/COUNTIF($J$5:$J$154,"OK"))</f>
        <v/>
      </c>
      <c r="P22" s="15" t="str">
        <f aca="false">IF(OR(L22="",COUNTIF($J$5:$J$154,"OK")=0),"",COUNTIFS($E$5:$E$154,"&lt;="&amp;L22,$J$5:$J$154,"OK")/COUNTIF($J$5:$J$154,"OK"))</f>
        <v/>
      </c>
    </row>
    <row r="23" customFormat="false" ht="15" hidden="false" customHeight="false" outlineLevel="0" collapsed="false">
      <c r="A23" s="8" t="n">
        <v>19</v>
      </c>
      <c r="B23" s="9"/>
      <c r="C23" s="9"/>
      <c r="D23" s="9"/>
      <c r="E23" s="9"/>
      <c r="F23" s="9"/>
      <c r="G23" s="9"/>
      <c r="H23" s="9"/>
      <c r="I23" s="9"/>
      <c r="J23" s="8" t="str">
        <f aca="false">IF(COUNT(B23:E23)&lt;4,"",IF(AND(B23&lt;=C23,C23&lt;=D23,D23&lt;=E23),"OK","Loại"))</f>
        <v/>
      </c>
      <c r="L23" s="9"/>
      <c r="M23" s="15" t="str">
        <f aca="false">IF(OR(L23="",COUNTIF($J$5:$J$154,"OK")=0),"",COUNTIFS($B$5:$B$154,"&gt;="&amp;L23,$J$5:$J$154,"OK")/COUNTIF($J$5:$J$154,"OK"))</f>
        <v/>
      </c>
      <c r="N23" s="15" t="str">
        <f aca="false">IF(OR(L23="",COUNTIF($J$5:$J$154,"OK")=0),"",COUNTIFS($C$5:$C$154,"&gt;="&amp;L23,$J$5:$J$154,"OK")/COUNTIF($J$5:$J$154,"OK"))</f>
        <v/>
      </c>
      <c r="O23" s="15" t="str">
        <f aca="false">IF(OR(L23="",COUNTIF($J$5:$J$154,"OK")=0),"",COUNTIFS($D$5:$D$154,"&lt;="&amp;L23,$J$5:$J$154,"OK")/COUNTIF($J$5:$J$154,"OK"))</f>
        <v/>
      </c>
      <c r="P23" s="15" t="str">
        <f aca="false">IF(OR(L23="",COUNTIF($J$5:$J$154,"OK")=0),"",COUNTIFS($E$5:$E$154,"&lt;="&amp;L23,$J$5:$J$154,"OK")/COUNTIF($J$5:$J$154,"OK"))</f>
        <v/>
      </c>
    </row>
    <row r="24" customFormat="false" ht="15" hidden="false" customHeight="false" outlineLevel="0" collapsed="false">
      <c r="A24" s="8" t="n">
        <v>20</v>
      </c>
      <c r="B24" s="9"/>
      <c r="C24" s="9"/>
      <c r="D24" s="9"/>
      <c r="E24" s="9"/>
      <c r="F24" s="9"/>
      <c r="G24" s="9"/>
      <c r="H24" s="9"/>
      <c r="I24" s="9"/>
      <c r="J24" s="8" t="str">
        <f aca="false">IF(COUNT(B24:E24)&lt;4,"",IF(AND(B24&lt;=C24,C24&lt;=D24,D24&lt;=E24),"OK","Loại"))</f>
        <v/>
      </c>
      <c r="L24" s="9"/>
      <c r="M24" s="15" t="str">
        <f aca="false">IF(OR(L24="",COUNTIF($J$5:$J$154,"OK")=0),"",COUNTIFS($B$5:$B$154,"&gt;="&amp;L24,$J$5:$J$154,"OK")/COUNTIF($J$5:$J$154,"OK"))</f>
        <v/>
      </c>
      <c r="N24" s="15" t="str">
        <f aca="false">IF(OR(L24="",COUNTIF($J$5:$J$154,"OK")=0),"",COUNTIFS($C$5:$C$154,"&gt;="&amp;L24,$J$5:$J$154,"OK")/COUNTIF($J$5:$J$154,"OK"))</f>
        <v/>
      </c>
      <c r="O24" s="15" t="str">
        <f aca="false">IF(OR(L24="",COUNTIF($J$5:$J$154,"OK")=0),"",COUNTIFS($D$5:$D$154,"&lt;="&amp;L24,$J$5:$J$154,"OK")/COUNTIF($J$5:$J$154,"OK"))</f>
        <v/>
      </c>
      <c r="P24" s="15" t="str">
        <f aca="false">IF(OR(L24="",COUNTIF($J$5:$J$154,"OK")=0),"",COUNTIFS($E$5:$E$154,"&lt;="&amp;L24,$J$5:$J$154,"OK")/COUNTIF($J$5:$J$154,"OK"))</f>
        <v/>
      </c>
    </row>
    <row r="25" customFormat="false" ht="15" hidden="false" customHeight="false" outlineLevel="0" collapsed="false">
      <c r="A25" s="8" t="n">
        <v>21</v>
      </c>
      <c r="B25" s="9"/>
      <c r="C25" s="9"/>
      <c r="D25" s="9"/>
      <c r="E25" s="9"/>
      <c r="F25" s="9"/>
      <c r="G25" s="9"/>
      <c r="H25" s="9"/>
      <c r="I25" s="9"/>
      <c r="J25" s="8" t="str">
        <f aca="false">IF(COUNT(B25:E25)&lt;4,"",IF(AND(B25&lt;=C25,C25&lt;=D25,D25&lt;=E25),"OK","Loại"))</f>
        <v/>
      </c>
      <c r="L25" s="9"/>
      <c r="M25" s="15" t="str">
        <f aca="false">IF(OR(L25="",COUNTIF($J$5:$J$154,"OK")=0),"",COUNTIFS($B$5:$B$154,"&gt;="&amp;L25,$J$5:$J$154,"OK")/COUNTIF($J$5:$J$154,"OK"))</f>
        <v/>
      </c>
      <c r="N25" s="15" t="str">
        <f aca="false">IF(OR(L25="",COUNTIF($J$5:$J$154,"OK")=0),"",COUNTIFS($C$5:$C$154,"&gt;="&amp;L25,$J$5:$J$154,"OK")/COUNTIF($J$5:$J$154,"OK"))</f>
        <v/>
      </c>
      <c r="O25" s="15" t="str">
        <f aca="false">IF(OR(L25="",COUNTIF($J$5:$J$154,"OK")=0),"",COUNTIFS($D$5:$D$154,"&lt;="&amp;L25,$J$5:$J$154,"OK")/COUNTIF($J$5:$J$154,"OK"))</f>
        <v/>
      </c>
      <c r="P25" s="15" t="str">
        <f aca="false">IF(OR(L25="",COUNTIF($J$5:$J$154,"OK")=0),"",COUNTIFS($E$5:$E$154,"&lt;="&amp;L25,$J$5:$J$154,"OK")/COUNTIF($J$5:$J$154,"OK"))</f>
        <v/>
      </c>
    </row>
    <row r="26" customFormat="false" ht="15" hidden="false" customHeight="false" outlineLevel="0" collapsed="false">
      <c r="A26" s="8" t="n">
        <v>22</v>
      </c>
      <c r="B26" s="9"/>
      <c r="C26" s="9"/>
      <c r="D26" s="9"/>
      <c r="E26" s="9"/>
      <c r="F26" s="9"/>
      <c r="G26" s="9"/>
      <c r="H26" s="9"/>
      <c r="I26" s="9"/>
      <c r="J26" s="8" t="str">
        <f aca="false">IF(COUNT(B26:E26)&lt;4,"",IF(AND(B26&lt;=C26,C26&lt;=D26,D26&lt;=E26),"OK","Loại"))</f>
        <v/>
      </c>
      <c r="L26" s="9"/>
      <c r="M26" s="15" t="str">
        <f aca="false">IF(OR(L26="",COUNTIF($J$5:$J$154,"OK")=0),"",COUNTIFS($B$5:$B$154,"&gt;="&amp;L26,$J$5:$J$154,"OK")/COUNTIF($J$5:$J$154,"OK"))</f>
        <v/>
      </c>
      <c r="N26" s="15" t="str">
        <f aca="false">IF(OR(L26="",COUNTIF($J$5:$J$154,"OK")=0),"",COUNTIFS($C$5:$C$154,"&gt;="&amp;L26,$J$5:$J$154,"OK")/COUNTIF($J$5:$J$154,"OK"))</f>
        <v/>
      </c>
      <c r="O26" s="15" t="str">
        <f aca="false">IF(OR(L26="",COUNTIF($J$5:$J$154,"OK")=0),"",COUNTIFS($D$5:$D$154,"&lt;="&amp;L26,$J$5:$J$154,"OK")/COUNTIF($J$5:$J$154,"OK"))</f>
        <v/>
      </c>
      <c r="P26" s="15" t="str">
        <f aca="false">IF(OR(L26="",COUNTIF($J$5:$J$154,"OK")=0),"",COUNTIFS($E$5:$E$154,"&lt;="&amp;L26,$J$5:$J$154,"OK")/COUNTIF($J$5:$J$154,"OK"))</f>
        <v/>
      </c>
    </row>
    <row r="27" customFormat="false" ht="15" hidden="false" customHeight="false" outlineLevel="0" collapsed="false">
      <c r="A27" s="8" t="n">
        <v>23</v>
      </c>
      <c r="B27" s="9"/>
      <c r="C27" s="9"/>
      <c r="D27" s="9"/>
      <c r="E27" s="9"/>
      <c r="F27" s="9"/>
      <c r="G27" s="9"/>
      <c r="H27" s="9"/>
      <c r="I27" s="9"/>
      <c r="J27" s="8" t="str">
        <f aca="false">IF(COUNT(B27:E27)&lt;4,"",IF(AND(B27&lt;=C27,C27&lt;=D27,D27&lt;=E27),"OK","Loại"))</f>
        <v/>
      </c>
      <c r="L27" s="9"/>
      <c r="M27" s="15" t="str">
        <f aca="false">IF(OR(L27="",COUNTIF($J$5:$J$154,"OK")=0),"",COUNTIFS($B$5:$B$154,"&gt;="&amp;L27,$J$5:$J$154,"OK")/COUNTIF($J$5:$J$154,"OK"))</f>
        <v/>
      </c>
      <c r="N27" s="15" t="str">
        <f aca="false">IF(OR(L27="",COUNTIF($J$5:$J$154,"OK")=0),"",COUNTIFS($C$5:$C$154,"&gt;="&amp;L27,$J$5:$J$154,"OK")/COUNTIF($J$5:$J$154,"OK"))</f>
        <v/>
      </c>
      <c r="O27" s="15" t="str">
        <f aca="false">IF(OR(L27="",COUNTIF($J$5:$J$154,"OK")=0),"",COUNTIFS($D$5:$D$154,"&lt;="&amp;L27,$J$5:$J$154,"OK")/COUNTIF($J$5:$J$154,"OK"))</f>
        <v/>
      </c>
      <c r="P27" s="15" t="str">
        <f aca="false">IF(OR(L27="",COUNTIF($J$5:$J$154,"OK")=0),"",COUNTIFS($E$5:$E$154,"&lt;="&amp;L27,$J$5:$J$154,"OK")/COUNTIF($J$5:$J$154,"OK"))</f>
        <v/>
      </c>
    </row>
    <row r="28" customFormat="false" ht="15" hidden="false" customHeight="false" outlineLevel="0" collapsed="false">
      <c r="A28" s="8" t="n">
        <v>24</v>
      </c>
      <c r="B28" s="9"/>
      <c r="C28" s="9"/>
      <c r="D28" s="9"/>
      <c r="E28" s="9"/>
      <c r="F28" s="9"/>
      <c r="G28" s="9"/>
      <c r="H28" s="9"/>
      <c r="I28" s="9"/>
      <c r="J28" s="8" t="str">
        <f aca="false">IF(COUNT(B28:E28)&lt;4,"",IF(AND(B28&lt;=C28,C28&lt;=D28,D28&lt;=E28),"OK","Loại"))</f>
        <v/>
      </c>
      <c r="L28" s="9"/>
      <c r="M28" s="15" t="str">
        <f aca="false">IF(OR(L28="",COUNTIF($J$5:$J$154,"OK")=0),"",COUNTIFS($B$5:$B$154,"&gt;="&amp;L28,$J$5:$J$154,"OK")/COUNTIF($J$5:$J$154,"OK"))</f>
        <v/>
      </c>
      <c r="N28" s="15" t="str">
        <f aca="false">IF(OR(L28="",COUNTIF($J$5:$J$154,"OK")=0),"",COUNTIFS($C$5:$C$154,"&gt;="&amp;L28,$J$5:$J$154,"OK")/COUNTIF($J$5:$J$154,"OK"))</f>
        <v/>
      </c>
      <c r="O28" s="15" t="str">
        <f aca="false">IF(OR(L28="",COUNTIF($J$5:$J$154,"OK")=0),"",COUNTIFS($D$5:$D$154,"&lt;="&amp;L28,$J$5:$J$154,"OK")/COUNTIF($J$5:$J$154,"OK"))</f>
        <v/>
      </c>
      <c r="P28" s="15" t="str">
        <f aca="false">IF(OR(L28="",COUNTIF($J$5:$J$154,"OK")=0),"",COUNTIFS($E$5:$E$154,"&lt;="&amp;L28,$J$5:$J$154,"OK")/COUNTIF($J$5:$J$154,"OK"))</f>
        <v/>
      </c>
    </row>
    <row r="29" customFormat="false" ht="15" hidden="false" customHeight="false" outlineLevel="0" collapsed="false">
      <c r="A29" s="8" t="n">
        <v>25</v>
      </c>
      <c r="B29" s="9"/>
      <c r="C29" s="9"/>
      <c r="D29" s="9"/>
      <c r="E29" s="9"/>
      <c r="F29" s="9"/>
      <c r="G29" s="9"/>
      <c r="H29" s="9"/>
      <c r="I29" s="9"/>
      <c r="J29" s="8" t="str">
        <f aca="false">IF(COUNT(B29:E29)&lt;4,"",IF(AND(B29&lt;=C29,C29&lt;=D29,D29&lt;=E29),"OK","Loại"))</f>
        <v/>
      </c>
    </row>
    <row r="30" customFormat="false" ht="15" hidden="false" customHeight="false" outlineLevel="0" collapsed="false">
      <c r="A30" s="8" t="n">
        <v>26</v>
      </c>
      <c r="B30" s="9"/>
      <c r="C30" s="9"/>
      <c r="D30" s="9"/>
      <c r="E30" s="9"/>
      <c r="F30" s="9"/>
      <c r="G30" s="9"/>
      <c r="H30" s="9"/>
      <c r="I30" s="9"/>
      <c r="J30" s="8" t="str">
        <f aca="false">IF(COUNT(B30:E30)&lt;4,"",IF(AND(B30&lt;=C30,C30&lt;=D30,D30&lt;=E30),"OK","Loại"))</f>
        <v/>
      </c>
    </row>
    <row r="31" customFormat="false" ht="15" hidden="false" customHeight="false" outlineLevel="0" collapsed="false">
      <c r="A31" s="8" t="n">
        <v>27</v>
      </c>
      <c r="B31" s="9"/>
      <c r="C31" s="9"/>
      <c r="D31" s="9"/>
      <c r="E31" s="9"/>
      <c r="F31" s="9"/>
      <c r="G31" s="9"/>
      <c r="H31" s="9"/>
      <c r="I31" s="9"/>
      <c r="J31" s="8" t="str">
        <f aca="false">IF(COUNT(B31:E31)&lt;4,"",IF(AND(B31&lt;=C31,C31&lt;=D31,D31&lt;=E31),"OK","Loại"))</f>
        <v/>
      </c>
    </row>
    <row r="32" customFormat="false" ht="15" hidden="false" customHeight="false" outlineLevel="0" collapsed="false">
      <c r="A32" s="8" t="n">
        <v>28</v>
      </c>
      <c r="B32" s="9"/>
      <c r="C32" s="9"/>
      <c r="D32" s="9"/>
      <c r="E32" s="9"/>
      <c r="F32" s="9"/>
      <c r="G32" s="9"/>
      <c r="H32" s="9"/>
      <c r="I32" s="9"/>
      <c r="J32" s="8" t="str">
        <f aca="false">IF(COUNT(B32:E32)&lt;4,"",IF(AND(B32&lt;=C32,C32&lt;=D32,D32&lt;=E32),"OK","Loại"))</f>
        <v/>
      </c>
    </row>
    <row r="33" customFormat="false" ht="15" hidden="false" customHeight="false" outlineLevel="0" collapsed="false">
      <c r="A33" s="8" t="n">
        <v>29</v>
      </c>
      <c r="B33" s="9"/>
      <c r="C33" s="9"/>
      <c r="D33" s="9"/>
      <c r="E33" s="9"/>
      <c r="F33" s="9"/>
      <c r="G33" s="9"/>
      <c r="H33" s="9"/>
      <c r="I33" s="9"/>
      <c r="J33" s="8" t="str">
        <f aca="false">IF(COUNT(B33:E33)&lt;4,"",IF(AND(B33&lt;=C33,C33&lt;=D33,D33&lt;=E33),"OK","Loại"))</f>
        <v/>
      </c>
    </row>
    <row r="34" customFormat="false" ht="15" hidden="false" customHeight="false" outlineLevel="0" collapsed="false">
      <c r="A34" s="8" t="n">
        <v>30</v>
      </c>
      <c r="B34" s="9"/>
      <c r="C34" s="9"/>
      <c r="D34" s="9"/>
      <c r="E34" s="9"/>
      <c r="F34" s="9"/>
      <c r="G34" s="9"/>
      <c r="H34" s="9"/>
      <c r="I34" s="9"/>
      <c r="J34" s="8" t="str">
        <f aca="false">IF(COUNT(B34:E34)&lt;4,"",IF(AND(B34&lt;=C34,C34&lt;=D34,D34&lt;=E34),"OK","Loại"))</f>
        <v/>
      </c>
    </row>
    <row r="35" customFormat="false" ht="15" hidden="false" customHeight="false" outlineLevel="0" collapsed="false">
      <c r="A35" s="8" t="n">
        <v>31</v>
      </c>
      <c r="B35" s="9"/>
      <c r="C35" s="9"/>
      <c r="D35" s="9"/>
      <c r="E35" s="9"/>
      <c r="F35" s="9"/>
      <c r="G35" s="9"/>
      <c r="H35" s="9"/>
      <c r="I35" s="9"/>
      <c r="J35" s="8" t="str">
        <f aca="false">IF(COUNT(B35:E35)&lt;4,"",IF(AND(B35&lt;=C35,C35&lt;=D35,D35&lt;=E35),"OK","Loại"))</f>
        <v/>
      </c>
    </row>
    <row r="36" customFormat="false" ht="15" hidden="false" customHeight="false" outlineLevel="0" collapsed="false">
      <c r="A36" s="8" t="n">
        <v>32</v>
      </c>
      <c r="B36" s="9"/>
      <c r="C36" s="9"/>
      <c r="D36" s="9"/>
      <c r="E36" s="9"/>
      <c r="F36" s="9"/>
      <c r="G36" s="9"/>
      <c r="H36" s="9"/>
      <c r="I36" s="9"/>
      <c r="J36" s="8" t="str">
        <f aca="false">IF(COUNT(B36:E36)&lt;4,"",IF(AND(B36&lt;=C36,C36&lt;=D36,D36&lt;=E36),"OK","Loại"))</f>
        <v/>
      </c>
    </row>
    <row r="37" customFormat="false" ht="15" hidden="false" customHeight="false" outlineLevel="0" collapsed="false">
      <c r="A37" s="8" t="n">
        <v>33</v>
      </c>
      <c r="B37" s="9"/>
      <c r="C37" s="9"/>
      <c r="D37" s="9"/>
      <c r="E37" s="9"/>
      <c r="F37" s="9"/>
      <c r="G37" s="9"/>
      <c r="H37" s="9"/>
      <c r="I37" s="9"/>
      <c r="J37" s="8" t="str">
        <f aca="false">IF(COUNT(B37:E37)&lt;4,"",IF(AND(B37&lt;=C37,C37&lt;=D37,D37&lt;=E37),"OK","Loại"))</f>
        <v/>
      </c>
    </row>
    <row r="38" customFormat="false" ht="15" hidden="false" customHeight="false" outlineLevel="0" collapsed="false">
      <c r="A38" s="8" t="n">
        <v>34</v>
      </c>
      <c r="B38" s="9"/>
      <c r="C38" s="9"/>
      <c r="D38" s="9"/>
      <c r="E38" s="9"/>
      <c r="F38" s="9"/>
      <c r="G38" s="9"/>
      <c r="H38" s="9"/>
      <c r="I38" s="9"/>
      <c r="J38" s="8" t="str">
        <f aca="false">IF(COUNT(B38:E38)&lt;4,"",IF(AND(B38&lt;=C38,C38&lt;=D38,D38&lt;=E38),"OK","Loại"))</f>
        <v/>
      </c>
    </row>
    <row r="39" customFormat="false" ht="15" hidden="false" customHeight="false" outlineLevel="0" collapsed="false">
      <c r="A39" s="8" t="n">
        <v>35</v>
      </c>
      <c r="B39" s="9"/>
      <c r="C39" s="9"/>
      <c r="D39" s="9"/>
      <c r="E39" s="9"/>
      <c r="F39" s="9"/>
      <c r="G39" s="9"/>
      <c r="H39" s="9"/>
      <c r="I39" s="9"/>
      <c r="J39" s="8" t="str">
        <f aca="false">IF(COUNT(B39:E39)&lt;4,"",IF(AND(B39&lt;=C39,C39&lt;=D39,D39&lt;=E39),"OK","Loại"))</f>
        <v/>
      </c>
    </row>
    <row r="40" customFormat="false" ht="15" hidden="false" customHeight="false" outlineLevel="0" collapsed="false">
      <c r="A40" s="8" t="n">
        <v>36</v>
      </c>
      <c r="B40" s="9"/>
      <c r="C40" s="9"/>
      <c r="D40" s="9"/>
      <c r="E40" s="9"/>
      <c r="F40" s="9"/>
      <c r="G40" s="9"/>
      <c r="H40" s="9"/>
      <c r="I40" s="9"/>
      <c r="J40" s="8" t="str">
        <f aca="false">IF(COUNT(B40:E40)&lt;4,"",IF(AND(B40&lt;=C40,C40&lt;=D40,D40&lt;=E40),"OK","Loại"))</f>
        <v/>
      </c>
    </row>
    <row r="41" customFormat="false" ht="15" hidden="false" customHeight="false" outlineLevel="0" collapsed="false">
      <c r="A41" s="8" t="n">
        <v>37</v>
      </c>
      <c r="B41" s="9"/>
      <c r="C41" s="9"/>
      <c r="D41" s="9"/>
      <c r="E41" s="9"/>
      <c r="F41" s="9"/>
      <c r="G41" s="9"/>
      <c r="H41" s="9"/>
      <c r="I41" s="9"/>
      <c r="J41" s="8" t="str">
        <f aca="false">IF(COUNT(B41:E41)&lt;4,"",IF(AND(B41&lt;=C41,C41&lt;=D41,D41&lt;=E41),"OK","Loại"))</f>
        <v/>
      </c>
    </row>
    <row r="42" customFormat="false" ht="15" hidden="false" customHeight="false" outlineLevel="0" collapsed="false">
      <c r="A42" s="8" t="n">
        <v>38</v>
      </c>
      <c r="B42" s="9"/>
      <c r="C42" s="9"/>
      <c r="D42" s="9"/>
      <c r="E42" s="9"/>
      <c r="F42" s="9"/>
      <c r="G42" s="9"/>
      <c r="H42" s="9"/>
      <c r="I42" s="9"/>
      <c r="J42" s="8" t="str">
        <f aca="false">IF(COUNT(B42:E42)&lt;4,"",IF(AND(B42&lt;=C42,C42&lt;=D42,D42&lt;=E42),"OK","Loại"))</f>
        <v/>
      </c>
    </row>
    <row r="43" customFormat="false" ht="15" hidden="false" customHeight="false" outlineLevel="0" collapsed="false">
      <c r="A43" s="8" t="n">
        <v>39</v>
      </c>
      <c r="B43" s="9"/>
      <c r="C43" s="9"/>
      <c r="D43" s="9"/>
      <c r="E43" s="9"/>
      <c r="F43" s="9"/>
      <c r="G43" s="9"/>
      <c r="H43" s="9"/>
      <c r="I43" s="9"/>
      <c r="J43" s="8" t="str">
        <f aca="false">IF(COUNT(B43:E43)&lt;4,"",IF(AND(B43&lt;=C43,C43&lt;=D43,D43&lt;=E43),"OK","Loại"))</f>
        <v/>
      </c>
    </row>
    <row r="44" customFormat="false" ht="15" hidden="false" customHeight="false" outlineLevel="0" collapsed="false">
      <c r="A44" s="8" t="n">
        <v>40</v>
      </c>
      <c r="B44" s="9"/>
      <c r="C44" s="9"/>
      <c r="D44" s="9"/>
      <c r="E44" s="9"/>
      <c r="F44" s="9"/>
      <c r="G44" s="9"/>
      <c r="H44" s="9"/>
      <c r="I44" s="9"/>
      <c r="J44" s="8" t="str">
        <f aca="false">IF(COUNT(B44:E44)&lt;4,"",IF(AND(B44&lt;=C44,C44&lt;=D44,D44&lt;=E44),"OK","Loại"))</f>
        <v/>
      </c>
    </row>
    <row r="45" customFormat="false" ht="15" hidden="false" customHeight="false" outlineLevel="0" collapsed="false">
      <c r="A45" s="8" t="n">
        <v>41</v>
      </c>
      <c r="B45" s="9"/>
      <c r="C45" s="9"/>
      <c r="D45" s="9"/>
      <c r="E45" s="9"/>
      <c r="F45" s="9"/>
      <c r="G45" s="9"/>
      <c r="H45" s="9"/>
      <c r="I45" s="9"/>
      <c r="J45" s="8" t="str">
        <f aca="false">IF(COUNT(B45:E45)&lt;4,"",IF(AND(B45&lt;=C45,C45&lt;=D45,D45&lt;=E45),"OK","Loại"))</f>
        <v/>
      </c>
    </row>
    <row r="46" customFormat="false" ht="15" hidden="false" customHeight="false" outlineLevel="0" collapsed="false">
      <c r="A46" s="8" t="n">
        <v>42</v>
      </c>
      <c r="B46" s="9"/>
      <c r="C46" s="9"/>
      <c r="D46" s="9"/>
      <c r="E46" s="9"/>
      <c r="F46" s="9"/>
      <c r="G46" s="9"/>
      <c r="H46" s="9"/>
      <c r="I46" s="9"/>
      <c r="J46" s="8" t="str">
        <f aca="false">IF(COUNT(B46:E46)&lt;4,"",IF(AND(B46&lt;=C46,C46&lt;=D46,D46&lt;=E46),"OK","Loại"))</f>
        <v/>
      </c>
    </row>
    <row r="47" customFormat="false" ht="15" hidden="false" customHeight="false" outlineLevel="0" collapsed="false">
      <c r="A47" s="8" t="n">
        <v>43</v>
      </c>
      <c r="B47" s="9"/>
      <c r="C47" s="9"/>
      <c r="D47" s="9"/>
      <c r="E47" s="9"/>
      <c r="F47" s="9"/>
      <c r="G47" s="9"/>
      <c r="H47" s="9"/>
      <c r="I47" s="9"/>
      <c r="J47" s="8" t="str">
        <f aca="false">IF(COUNT(B47:E47)&lt;4,"",IF(AND(B47&lt;=C47,C47&lt;=D47,D47&lt;=E47),"OK","Loại"))</f>
        <v/>
      </c>
    </row>
    <row r="48" customFormat="false" ht="15" hidden="false" customHeight="false" outlineLevel="0" collapsed="false">
      <c r="A48" s="8" t="n">
        <v>44</v>
      </c>
      <c r="B48" s="9"/>
      <c r="C48" s="9"/>
      <c r="D48" s="9"/>
      <c r="E48" s="9"/>
      <c r="F48" s="9"/>
      <c r="G48" s="9"/>
      <c r="H48" s="9"/>
      <c r="I48" s="9"/>
      <c r="J48" s="8" t="str">
        <f aca="false">IF(COUNT(B48:E48)&lt;4,"",IF(AND(B48&lt;=C48,C48&lt;=D48,D48&lt;=E48),"OK","Loại"))</f>
        <v/>
      </c>
    </row>
    <row r="49" customFormat="false" ht="15" hidden="false" customHeight="false" outlineLevel="0" collapsed="false">
      <c r="A49" s="8" t="n">
        <v>45</v>
      </c>
      <c r="B49" s="9"/>
      <c r="C49" s="9"/>
      <c r="D49" s="9"/>
      <c r="E49" s="9"/>
      <c r="F49" s="9"/>
      <c r="G49" s="9"/>
      <c r="H49" s="9"/>
      <c r="I49" s="9"/>
      <c r="J49" s="8" t="str">
        <f aca="false">IF(COUNT(B49:E49)&lt;4,"",IF(AND(B49&lt;=C49,C49&lt;=D49,D49&lt;=E49),"OK","Loại"))</f>
        <v/>
      </c>
    </row>
    <row r="50" customFormat="false" ht="15" hidden="false" customHeight="false" outlineLevel="0" collapsed="false">
      <c r="A50" s="8" t="n">
        <v>46</v>
      </c>
      <c r="B50" s="9"/>
      <c r="C50" s="9"/>
      <c r="D50" s="9"/>
      <c r="E50" s="9"/>
      <c r="F50" s="9"/>
      <c r="G50" s="9"/>
      <c r="H50" s="9"/>
      <c r="I50" s="9"/>
      <c r="J50" s="8" t="str">
        <f aca="false">IF(COUNT(B50:E50)&lt;4,"",IF(AND(B50&lt;=C50,C50&lt;=D50,D50&lt;=E50),"OK","Loại"))</f>
        <v/>
      </c>
    </row>
    <row r="51" customFormat="false" ht="15" hidden="false" customHeight="false" outlineLevel="0" collapsed="false">
      <c r="A51" s="8" t="n">
        <v>47</v>
      </c>
      <c r="B51" s="9"/>
      <c r="C51" s="9"/>
      <c r="D51" s="9"/>
      <c r="E51" s="9"/>
      <c r="F51" s="9"/>
      <c r="G51" s="9"/>
      <c r="H51" s="9"/>
      <c r="I51" s="9"/>
      <c r="J51" s="8" t="str">
        <f aca="false">IF(COUNT(B51:E51)&lt;4,"",IF(AND(B51&lt;=C51,C51&lt;=D51,D51&lt;=E51),"OK","Loại"))</f>
        <v/>
      </c>
    </row>
    <row r="52" customFormat="false" ht="15" hidden="false" customHeight="false" outlineLevel="0" collapsed="false">
      <c r="A52" s="8" t="n">
        <v>48</v>
      </c>
      <c r="B52" s="9"/>
      <c r="C52" s="9"/>
      <c r="D52" s="9"/>
      <c r="E52" s="9"/>
      <c r="F52" s="9"/>
      <c r="G52" s="9"/>
      <c r="H52" s="9"/>
      <c r="I52" s="9"/>
      <c r="J52" s="8" t="str">
        <f aca="false">IF(COUNT(B52:E52)&lt;4,"",IF(AND(B52&lt;=C52,C52&lt;=D52,D52&lt;=E52),"OK","Loại"))</f>
        <v/>
      </c>
    </row>
    <row r="53" customFormat="false" ht="15" hidden="false" customHeight="false" outlineLevel="0" collapsed="false">
      <c r="A53" s="8" t="n">
        <v>49</v>
      </c>
      <c r="B53" s="9"/>
      <c r="C53" s="9"/>
      <c r="D53" s="9"/>
      <c r="E53" s="9"/>
      <c r="F53" s="9"/>
      <c r="G53" s="9"/>
      <c r="H53" s="9"/>
      <c r="I53" s="9"/>
      <c r="J53" s="8" t="str">
        <f aca="false">IF(COUNT(B53:E53)&lt;4,"",IF(AND(B53&lt;=C53,C53&lt;=D53,D53&lt;=E53),"OK","Loại"))</f>
        <v/>
      </c>
    </row>
    <row r="54" customFormat="false" ht="15" hidden="false" customHeight="false" outlineLevel="0" collapsed="false">
      <c r="A54" s="8" t="n">
        <v>50</v>
      </c>
      <c r="B54" s="9"/>
      <c r="C54" s="9"/>
      <c r="D54" s="9"/>
      <c r="E54" s="9"/>
      <c r="F54" s="9"/>
      <c r="G54" s="9"/>
      <c r="H54" s="9"/>
      <c r="I54" s="9"/>
      <c r="J54" s="8" t="str">
        <f aca="false">IF(COUNT(B54:E54)&lt;4,"",IF(AND(B54&lt;=C54,C54&lt;=D54,D54&lt;=E54),"OK","Loại"))</f>
        <v/>
      </c>
    </row>
    <row r="55" customFormat="false" ht="15" hidden="false" customHeight="false" outlineLevel="0" collapsed="false">
      <c r="A55" s="8" t="n">
        <v>51</v>
      </c>
      <c r="B55" s="9"/>
      <c r="C55" s="9"/>
      <c r="D55" s="9"/>
      <c r="E55" s="9"/>
      <c r="F55" s="9"/>
      <c r="G55" s="9"/>
      <c r="H55" s="9"/>
      <c r="I55" s="9"/>
      <c r="J55" s="8" t="str">
        <f aca="false">IF(COUNT(B55:E55)&lt;4,"",IF(AND(B55&lt;=C55,C55&lt;=D55,D55&lt;=E55),"OK","Loại"))</f>
        <v/>
      </c>
    </row>
    <row r="56" customFormat="false" ht="15" hidden="false" customHeight="false" outlineLevel="0" collapsed="false">
      <c r="A56" s="8" t="n">
        <v>52</v>
      </c>
      <c r="B56" s="9"/>
      <c r="C56" s="9"/>
      <c r="D56" s="9"/>
      <c r="E56" s="9"/>
      <c r="F56" s="9"/>
      <c r="G56" s="9"/>
      <c r="H56" s="9"/>
      <c r="I56" s="9"/>
      <c r="J56" s="8" t="str">
        <f aca="false">IF(COUNT(B56:E56)&lt;4,"",IF(AND(B56&lt;=C56,C56&lt;=D56,D56&lt;=E56),"OK","Loại"))</f>
        <v/>
      </c>
    </row>
    <row r="57" customFormat="false" ht="15" hidden="false" customHeight="false" outlineLevel="0" collapsed="false">
      <c r="A57" s="8" t="n">
        <v>53</v>
      </c>
      <c r="B57" s="9"/>
      <c r="C57" s="9"/>
      <c r="D57" s="9"/>
      <c r="E57" s="9"/>
      <c r="F57" s="9"/>
      <c r="G57" s="9"/>
      <c r="H57" s="9"/>
      <c r="I57" s="9"/>
      <c r="J57" s="8" t="str">
        <f aca="false">IF(COUNT(B57:E57)&lt;4,"",IF(AND(B57&lt;=C57,C57&lt;=D57,D57&lt;=E57),"OK","Loại"))</f>
        <v/>
      </c>
    </row>
    <row r="58" customFormat="false" ht="15" hidden="false" customHeight="false" outlineLevel="0" collapsed="false">
      <c r="A58" s="8" t="n">
        <v>54</v>
      </c>
      <c r="B58" s="9"/>
      <c r="C58" s="9"/>
      <c r="D58" s="9"/>
      <c r="E58" s="9"/>
      <c r="F58" s="9"/>
      <c r="G58" s="9"/>
      <c r="H58" s="9"/>
      <c r="I58" s="9"/>
      <c r="J58" s="8" t="str">
        <f aca="false">IF(COUNT(B58:E58)&lt;4,"",IF(AND(B58&lt;=C58,C58&lt;=D58,D58&lt;=E58),"OK","Loại"))</f>
        <v/>
      </c>
    </row>
    <row r="59" customFormat="false" ht="15" hidden="false" customHeight="false" outlineLevel="0" collapsed="false">
      <c r="A59" s="8" t="n">
        <v>55</v>
      </c>
      <c r="B59" s="9"/>
      <c r="C59" s="9"/>
      <c r="D59" s="9"/>
      <c r="E59" s="9"/>
      <c r="F59" s="9"/>
      <c r="G59" s="9"/>
      <c r="H59" s="9"/>
      <c r="I59" s="9"/>
      <c r="J59" s="8" t="str">
        <f aca="false">IF(COUNT(B59:E59)&lt;4,"",IF(AND(B59&lt;=C59,C59&lt;=D59,D59&lt;=E59),"OK","Loại"))</f>
        <v/>
      </c>
    </row>
    <row r="60" customFormat="false" ht="15" hidden="false" customHeight="false" outlineLevel="0" collapsed="false">
      <c r="A60" s="8" t="n">
        <v>56</v>
      </c>
      <c r="B60" s="9"/>
      <c r="C60" s="9"/>
      <c r="D60" s="9"/>
      <c r="E60" s="9"/>
      <c r="F60" s="9"/>
      <c r="G60" s="9"/>
      <c r="H60" s="9"/>
      <c r="I60" s="9"/>
      <c r="J60" s="8" t="str">
        <f aca="false">IF(COUNT(B60:E60)&lt;4,"",IF(AND(B60&lt;=C60,C60&lt;=D60,D60&lt;=E60),"OK","Loại"))</f>
        <v/>
      </c>
    </row>
    <row r="61" customFormat="false" ht="15" hidden="false" customHeight="false" outlineLevel="0" collapsed="false">
      <c r="A61" s="8" t="n">
        <v>57</v>
      </c>
      <c r="B61" s="9"/>
      <c r="C61" s="9"/>
      <c r="D61" s="9"/>
      <c r="E61" s="9"/>
      <c r="F61" s="9"/>
      <c r="G61" s="9"/>
      <c r="H61" s="9"/>
      <c r="I61" s="9"/>
      <c r="J61" s="8" t="str">
        <f aca="false">IF(COUNT(B61:E61)&lt;4,"",IF(AND(B61&lt;=C61,C61&lt;=D61,D61&lt;=E61),"OK","Loại"))</f>
        <v/>
      </c>
    </row>
    <row r="62" customFormat="false" ht="15" hidden="false" customHeight="false" outlineLevel="0" collapsed="false">
      <c r="A62" s="8" t="n">
        <v>58</v>
      </c>
      <c r="B62" s="9"/>
      <c r="C62" s="9"/>
      <c r="D62" s="9"/>
      <c r="E62" s="9"/>
      <c r="F62" s="9"/>
      <c r="G62" s="9"/>
      <c r="H62" s="9"/>
      <c r="I62" s="9"/>
      <c r="J62" s="8" t="str">
        <f aca="false">IF(COUNT(B62:E62)&lt;4,"",IF(AND(B62&lt;=C62,C62&lt;=D62,D62&lt;=E62),"OK","Loại"))</f>
        <v/>
      </c>
    </row>
    <row r="63" customFormat="false" ht="15" hidden="false" customHeight="false" outlineLevel="0" collapsed="false">
      <c r="A63" s="8" t="n">
        <v>59</v>
      </c>
      <c r="B63" s="9"/>
      <c r="C63" s="9"/>
      <c r="D63" s="9"/>
      <c r="E63" s="9"/>
      <c r="F63" s="9"/>
      <c r="G63" s="9"/>
      <c r="H63" s="9"/>
      <c r="I63" s="9"/>
      <c r="J63" s="8" t="str">
        <f aca="false">IF(COUNT(B63:E63)&lt;4,"",IF(AND(B63&lt;=C63,C63&lt;=D63,D63&lt;=E63),"OK","Loại"))</f>
        <v/>
      </c>
    </row>
    <row r="64" customFormat="false" ht="15" hidden="false" customHeight="false" outlineLevel="0" collapsed="false">
      <c r="A64" s="8" t="n">
        <v>60</v>
      </c>
      <c r="B64" s="9"/>
      <c r="C64" s="9"/>
      <c r="D64" s="9"/>
      <c r="E64" s="9"/>
      <c r="F64" s="9"/>
      <c r="G64" s="9"/>
      <c r="H64" s="9"/>
      <c r="I64" s="9"/>
      <c r="J64" s="8" t="str">
        <f aca="false">IF(COUNT(B64:E64)&lt;4,"",IF(AND(B64&lt;=C64,C64&lt;=D64,D64&lt;=E64),"OK","Loại"))</f>
        <v/>
      </c>
    </row>
    <row r="65" customFormat="false" ht="15" hidden="false" customHeight="false" outlineLevel="0" collapsed="false">
      <c r="A65" s="8" t="n">
        <v>61</v>
      </c>
      <c r="B65" s="9"/>
      <c r="C65" s="9"/>
      <c r="D65" s="9"/>
      <c r="E65" s="9"/>
      <c r="F65" s="9"/>
      <c r="G65" s="9"/>
      <c r="H65" s="9"/>
      <c r="I65" s="9"/>
      <c r="J65" s="8" t="str">
        <f aca="false">IF(COUNT(B65:E65)&lt;4,"",IF(AND(B65&lt;=C65,C65&lt;=D65,D65&lt;=E65),"OK","Loại"))</f>
        <v/>
      </c>
    </row>
    <row r="66" customFormat="false" ht="15" hidden="false" customHeight="false" outlineLevel="0" collapsed="false">
      <c r="A66" s="8" t="n">
        <v>62</v>
      </c>
      <c r="B66" s="9"/>
      <c r="C66" s="9"/>
      <c r="D66" s="9"/>
      <c r="E66" s="9"/>
      <c r="F66" s="9"/>
      <c r="G66" s="9"/>
      <c r="H66" s="9"/>
      <c r="I66" s="9"/>
      <c r="J66" s="8" t="str">
        <f aca="false">IF(COUNT(B66:E66)&lt;4,"",IF(AND(B66&lt;=C66,C66&lt;=D66,D66&lt;=E66),"OK","Loại"))</f>
        <v/>
      </c>
    </row>
    <row r="67" customFormat="false" ht="15" hidden="false" customHeight="false" outlineLevel="0" collapsed="false">
      <c r="A67" s="8" t="n">
        <v>63</v>
      </c>
      <c r="B67" s="9"/>
      <c r="C67" s="9"/>
      <c r="D67" s="9"/>
      <c r="E67" s="9"/>
      <c r="F67" s="9"/>
      <c r="G67" s="9"/>
      <c r="H67" s="9"/>
      <c r="I67" s="9"/>
      <c r="J67" s="8" t="str">
        <f aca="false">IF(COUNT(B67:E67)&lt;4,"",IF(AND(B67&lt;=C67,C67&lt;=D67,D67&lt;=E67),"OK","Loại"))</f>
        <v/>
      </c>
    </row>
    <row r="68" customFormat="false" ht="15" hidden="false" customHeight="false" outlineLevel="0" collapsed="false">
      <c r="A68" s="8" t="n">
        <v>64</v>
      </c>
      <c r="B68" s="9"/>
      <c r="C68" s="9"/>
      <c r="D68" s="9"/>
      <c r="E68" s="9"/>
      <c r="F68" s="9"/>
      <c r="G68" s="9"/>
      <c r="H68" s="9"/>
      <c r="I68" s="9"/>
      <c r="J68" s="8" t="str">
        <f aca="false">IF(COUNT(B68:E68)&lt;4,"",IF(AND(B68&lt;=C68,C68&lt;=D68,D68&lt;=E68),"OK","Loại"))</f>
        <v/>
      </c>
    </row>
    <row r="69" customFormat="false" ht="15" hidden="false" customHeight="false" outlineLevel="0" collapsed="false">
      <c r="A69" s="8" t="n">
        <v>65</v>
      </c>
      <c r="B69" s="9"/>
      <c r="C69" s="9"/>
      <c r="D69" s="9"/>
      <c r="E69" s="9"/>
      <c r="F69" s="9"/>
      <c r="G69" s="9"/>
      <c r="H69" s="9"/>
      <c r="I69" s="9"/>
      <c r="J69" s="8" t="str">
        <f aca="false">IF(COUNT(B69:E69)&lt;4,"",IF(AND(B69&lt;=C69,C69&lt;=D69,D69&lt;=E69),"OK","Loại"))</f>
        <v/>
      </c>
    </row>
    <row r="70" customFormat="false" ht="15" hidden="false" customHeight="false" outlineLevel="0" collapsed="false">
      <c r="A70" s="8" t="n">
        <v>66</v>
      </c>
      <c r="B70" s="9"/>
      <c r="C70" s="9"/>
      <c r="D70" s="9"/>
      <c r="E70" s="9"/>
      <c r="F70" s="9"/>
      <c r="G70" s="9"/>
      <c r="H70" s="9"/>
      <c r="I70" s="9"/>
      <c r="J70" s="8" t="str">
        <f aca="false">IF(COUNT(B70:E70)&lt;4,"",IF(AND(B70&lt;=C70,C70&lt;=D70,D70&lt;=E70),"OK","Loại"))</f>
        <v/>
      </c>
    </row>
    <row r="71" customFormat="false" ht="15" hidden="false" customHeight="false" outlineLevel="0" collapsed="false">
      <c r="A71" s="8" t="n">
        <v>67</v>
      </c>
      <c r="B71" s="9"/>
      <c r="C71" s="9"/>
      <c r="D71" s="9"/>
      <c r="E71" s="9"/>
      <c r="F71" s="9"/>
      <c r="G71" s="9"/>
      <c r="H71" s="9"/>
      <c r="I71" s="9"/>
      <c r="J71" s="8" t="str">
        <f aca="false">IF(COUNT(B71:E71)&lt;4,"",IF(AND(B71&lt;=C71,C71&lt;=D71,D71&lt;=E71),"OK","Loại"))</f>
        <v/>
      </c>
    </row>
    <row r="72" customFormat="false" ht="15" hidden="false" customHeight="false" outlineLevel="0" collapsed="false">
      <c r="A72" s="8" t="n">
        <v>68</v>
      </c>
      <c r="B72" s="9"/>
      <c r="C72" s="9"/>
      <c r="D72" s="9"/>
      <c r="E72" s="9"/>
      <c r="F72" s="9"/>
      <c r="G72" s="9"/>
      <c r="H72" s="9"/>
      <c r="I72" s="9"/>
      <c r="J72" s="8" t="str">
        <f aca="false">IF(COUNT(B72:E72)&lt;4,"",IF(AND(B72&lt;=C72,C72&lt;=D72,D72&lt;=E72),"OK","Loại"))</f>
        <v/>
      </c>
    </row>
    <row r="73" customFormat="false" ht="15" hidden="false" customHeight="false" outlineLevel="0" collapsed="false">
      <c r="A73" s="8" t="n">
        <v>69</v>
      </c>
      <c r="B73" s="9"/>
      <c r="C73" s="9"/>
      <c r="D73" s="9"/>
      <c r="E73" s="9"/>
      <c r="F73" s="9"/>
      <c r="G73" s="9"/>
      <c r="H73" s="9"/>
      <c r="I73" s="9"/>
      <c r="J73" s="8" t="str">
        <f aca="false">IF(COUNT(B73:E73)&lt;4,"",IF(AND(B73&lt;=C73,C73&lt;=D73,D73&lt;=E73),"OK","Loại"))</f>
        <v/>
      </c>
    </row>
    <row r="74" customFormat="false" ht="15" hidden="false" customHeight="false" outlineLevel="0" collapsed="false">
      <c r="A74" s="8" t="n">
        <v>70</v>
      </c>
      <c r="B74" s="9"/>
      <c r="C74" s="9"/>
      <c r="D74" s="9"/>
      <c r="E74" s="9"/>
      <c r="F74" s="9"/>
      <c r="G74" s="9"/>
      <c r="H74" s="9"/>
      <c r="I74" s="9"/>
      <c r="J74" s="8" t="str">
        <f aca="false">IF(COUNT(B74:E74)&lt;4,"",IF(AND(B74&lt;=C74,C74&lt;=D74,D74&lt;=E74),"OK","Loại"))</f>
        <v/>
      </c>
    </row>
    <row r="75" customFormat="false" ht="15" hidden="false" customHeight="false" outlineLevel="0" collapsed="false">
      <c r="A75" s="8" t="n">
        <v>71</v>
      </c>
      <c r="B75" s="9"/>
      <c r="C75" s="9"/>
      <c r="D75" s="9"/>
      <c r="E75" s="9"/>
      <c r="F75" s="9"/>
      <c r="G75" s="9"/>
      <c r="H75" s="9"/>
      <c r="I75" s="9"/>
      <c r="J75" s="8" t="str">
        <f aca="false">IF(COUNT(B75:E75)&lt;4,"",IF(AND(B75&lt;=C75,C75&lt;=D75,D75&lt;=E75),"OK","Loại"))</f>
        <v/>
      </c>
    </row>
    <row r="76" customFormat="false" ht="15" hidden="false" customHeight="false" outlineLevel="0" collapsed="false">
      <c r="A76" s="8" t="n">
        <v>72</v>
      </c>
      <c r="B76" s="9"/>
      <c r="C76" s="9"/>
      <c r="D76" s="9"/>
      <c r="E76" s="9"/>
      <c r="F76" s="9"/>
      <c r="G76" s="9"/>
      <c r="H76" s="9"/>
      <c r="I76" s="9"/>
      <c r="J76" s="8" t="str">
        <f aca="false">IF(COUNT(B76:E76)&lt;4,"",IF(AND(B76&lt;=C76,C76&lt;=D76,D76&lt;=E76),"OK","Loại"))</f>
        <v/>
      </c>
    </row>
    <row r="77" customFormat="false" ht="15" hidden="false" customHeight="false" outlineLevel="0" collapsed="false">
      <c r="A77" s="8" t="n">
        <v>73</v>
      </c>
      <c r="B77" s="9"/>
      <c r="C77" s="9"/>
      <c r="D77" s="9"/>
      <c r="E77" s="9"/>
      <c r="F77" s="9"/>
      <c r="G77" s="9"/>
      <c r="H77" s="9"/>
      <c r="I77" s="9"/>
      <c r="J77" s="8" t="str">
        <f aca="false">IF(COUNT(B77:E77)&lt;4,"",IF(AND(B77&lt;=C77,C77&lt;=D77,D77&lt;=E77),"OK","Loại"))</f>
        <v/>
      </c>
    </row>
    <row r="78" customFormat="false" ht="15" hidden="false" customHeight="false" outlineLevel="0" collapsed="false">
      <c r="A78" s="8" t="n">
        <v>74</v>
      </c>
      <c r="B78" s="9"/>
      <c r="C78" s="9"/>
      <c r="D78" s="9"/>
      <c r="E78" s="9"/>
      <c r="F78" s="9"/>
      <c r="G78" s="9"/>
      <c r="H78" s="9"/>
      <c r="I78" s="9"/>
      <c r="J78" s="8" t="str">
        <f aca="false">IF(COUNT(B78:E78)&lt;4,"",IF(AND(B78&lt;=C78,C78&lt;=D78,D78&lt;=E78),"OK","Loại"))</f>
        <v/>
      </c>
    </row>
    <row r="79" customFormat="false" ht="15" hidden="false" customHeight="false" outlineLevel="0" collapsed="false">
      <c r="A79" s="8" t="n">
        <v>75</v>
      </c>
      <c r="B79" s="9"/>
      <c r="C79" s="9"/>
      <c r="D79" s="9"/>
      <c r="E79" s="9"/>
      <c r="F79" s="9"/>
      <c r="G79" s="9"/>
      <c r="H79" s="9"/>
      <c r="I79" s="9"/>
      <c r="J79" s="8" t="str">
        <f aca="false">IF(COUNT(B79:E79)&lt;4,"",IF(AND(B79&lt;=C79,C79&lt;=D79,D79&lt;=E79),"OK","Loại"))</f>
        <v/>
      </c>
    </row>
    <row r="80" customFormat="false" ht="15" hidden="false" customHeight="false" outlineLevel="0" collapsed="false">
      <c r="A80" s="8" t="n">
        <v>76</v>
      </c>
      <c r="B80" s="9"/>
      <c r="C80" s="9"/>
      <c r="D80" s="9"/>
      <c r="E80" s="9"/>
      <c r="F80" s="9"/>
      <c r="G80" s="9"/>
      <c r="H80" s="9"/>
      <c r="I80" s="9"/>
      <c r="J80" s="8" t="str">
        <f aca="false">IF(COUNT(B80:E80)&lt;4,"",IF(AND(B80&lt;=C80,C80&lt;=D80,D80&lt;=E80),"OK","Loại"))</f>
        <v/>
      </c>
    </row>
    <row r="81" customFormat="false" ht="15" hidden="false" customHeight="false" outlineLevel="0" collapsed="false">
      <c r="A81" s="8" t="n">
        <v>77</v>
      </c>
      <c r="B81" s="9"/>
      <c r="C81" s="9"/>
      <c r="D81" s="9"/>
      <c r="E81" s="9"/>
      <c r="F81" s="9"/>
      <c r="G81" s="9"/>
      <c r="H81" s="9"/>
      <c r="I81" s="9"/>
      <c r="J81" s="8" t="str">
        <f aca="false">IF(COUNT(B81:E81)&lt;4,"",IF(AND(B81&lt;=C81,C81&lt;=D81,D81&lt;=E81),"OK","Loại"))</f>
        <v/>
      </c>
    </row>
    <row r="82" customFormat="false" ht="15" hidden="false" customHeight="false" outlineLevel="0" collapsed="false">
      <c r="A82" s="8" t="n">
        <v>78</v>
      </c>
      <c r="B82" s="9"/>
      <c r="C82" s="9"/>
      <c r="D82" s="9"/>
      <c r="E82" s="9"/>
      <c r="F82" s="9"/>
      <c r="G82" s="9"/>
      <c r="H82" s="9"/>
      <c r="I82" s="9"/>
      <c r="J82" s="8" t="str">
        <f aca="false">IF(COUNT(B82:E82)&lt;4,"",IF(AND(B82&lt;=C82,C82&lt;=D82,D82&lt;=E82),"OK","Loại"))</f>
        <v/>
      </c>
    </row>
    <row r="83" customFormat="false" ht="15" hidden="false" customHeight="false" outlineLevel="0" collapsed="false">
      <c r="A83" s="8" t="n">
        <v>79</v>
      </c>
      <c r="B83" s="9"/>
      <c r="C83" s="9"/>
      <c r="D83" s="9"/>
      <c r="E83" s="9"/>
      <c r="F83" s="9"/>
      <c r="G83" s="9"/>
      <c r="H83" s="9"/>
      <c r="I83" s="9"/>
      <c r="J83" s="8" t="str">
        <f aca="false">IF(COUNT(B83:E83)&lt;4,"",IF(AND(B83&lt;=C83,C83&lt;=D83,D83&lt;=E83),"OK","Loại"))</f>
        <v/>
      </c>
    </row>
    <row r="84" customFormat="false" ht="15" hidden="false" customHeight="false" outlineLevel="0" collapsed="false">
      <c r="A84" s="8" t="n">
        <v>80</v>
      </c>
      <c r="B84" s="9"/>
      <c r="C84" s="9"/>
      <c r="D84" s="9"/>
      <c r="E84" s="9"/>
      <c r="F84" s="9"/>
      <c r="G84" s="9"/>
      <c r="H84" s="9"/>
      <c r="I84" s="9"/>
      <c r="J84" s="8" t="str">
        <f aca="false">IF(COUNT(B84:E84)&lt;4,"",IF(AND(B84&lt;=C84,C84&lt;=D84,D84&lt;=E84),"OK","Loại"))</f>
        <v/>
      </c>
    </row>
    <row r="85" customFormat="false" ht="15" hidden="false" customHeight="false" outlineLevel="0" collapsed="false">
      <c r="A85" s="8" t="n">
        <v>81</v>
      </c>
      <c r="B85" s="9"/>
      <c r="C85" s="9"/>
      <c r="D85" s="9"/>
      <c r="E85" s="9"/>
      <c r="F85" s="9"/>
      <c r="G85" s="9"/>
      <c r="H85" s="9"/>
      <c r="I85" s="9"/>
      <c r="J85" s="8" t="str">
        <f aca="false">IF(COUNT(B85:E85)&lt;4,"",IF(AND(B85&lt;=C85,C85&lt;=D85,D85&lt;=E85),"OK","Loại"))</f>
        <v/>
      </c>
    </row>
    <row r="86" customFormat="false" ht="15" hidden="false" customHeight="false" outlineLevel="0" collapsed="false">
      <c r="A86" s="8" t="n">
        <v>82</v>
      </c>
      <c r="B86" s="9"/>
      <c r="C86" s="9"/>
      <c r="D86" s="9"/>
      <c r="E86" s="9"/>
      <c r="F86" s="9"/>
      <c r="G86" s="9"/>
      <c r="H86" s="9"/>
      <c r="I86" s="9"/>
      <c r="J86" s="8" t="str">
        <f aca="false">IF(COUNT(B86:E86)&lt;4,"",IF(AND(B86&lt;=C86,C86&lt;=D86,D86&lt;=E86),"OK","Loại"))</f>
        <v/>
      </c>
    </row>
    <row r="87" customFormat="false" ht="15" hidden="false" customHeight="false" outlineLevel="0" collapsed="false">
      <c r="A87" s="8" t="n">
        <v>83</v>
      </c>
      <c r="B87" s="9"/>
      <c r="C87" s="9"/>
      <c r="D87" s="9"/>
      <c r="E87" s="9"/>
      <c r="F87" s="9"/>
      <c r="G87" s="9"/>
      <c r="H87" s="9"/>
      <c r="I87" s="9"/>
      <c r="J87" s="8" t="str">
        <f aca="false">IF(COUNT(B87:E87)&lt;4,"",IF(AND(B87&lt;=C87,C87&lt;=D87,D87&lt;=E87),"OK","Loại"))</f>
        <v/>
      </c>
    </row>
    <row r="88" customFormat="false" ht="15" hidden="false" customHeight="false" outlineLevel="0" collapsed="false">
      <c r="A88" s="8" t="n">
        <v>84</v>
      </c>
      <c r="B88" s="9"/>
      <c r="C88" s="9"/>
      <c r="D88" s="9"/>
      <c r="E88" s="9"/>
      <c r="F88" s="9"/>
      <c r="G88" s="9"/>
      <c r="H88" s="9"/>
      <c r="I88" s="9"/>
      <c r="J88" s="8" t="str">
        <f aca="false">IF(COUNT(B88:E88)&lt;4,"",IF(AND(B88&lt;=C88,C88&lt;=D88,D88&lt;=E88),"OK","Loại"))</f>
        <v/>
      </c>
    </row>
    <row r="89" customFormat="false" ht="15" hidden="false" customHeight="false" outlineLevel="0" collapsed="false">
      <c r="A89" s="8" t="n">
        <v>85</v>
      </c>
      <c r="B89" s="9"/>
      <c r="C89" s="9"/>
      <c r="D89" s="9"/>
      <c r="E89" s="9"/>
      <c r="F89" s="9"/>
      <c r="G89" s="9"/>
      <c r="H89" s="9"/>
      <c r="I89" s="9"/>
      <c r="J89" s="8" t="str">
        <f aca="false">IF(COUNT(B89:E89)&lt;4,"",IF(AND(B89&lt;=C89,C89&lt;=D89,D89&lt;=E89),"OK","Loại"))</f>
        <v/>
      </c>
    </row>
    <row r="90" customFormat="false" ht="15" hidden="false" customHeight="false" outlineLevel="0" collapsed="false">
      <c r="A90" s="8" t="n">
        <v>86</v>
      </c>
      <c r="B90" s="9"/>
      <c r="C90" s="9"/>
      <c r="D90" s="9"/>
      <c r="E90" s="9"/>
      <c r="F90" s="9"/>
      <c r="G90" s="9"/>
      <c r="H90" s="9"/>
      <c r="I90" s="9"/>
      <c r="J90" s="8" t="str">
        <f aca="false">IF(COUNT(B90:E90)&lt;4,"",IF(AND(B90&lt;=C90,C90&lt;=D90,D90&lt;=E90),"OK","Loại"))</f>
        <v/>
      </c>
    </row>
    <row r="91" customFormat="false" ht="15" hidden="false" customHeight="false" outlineLevel="0" collapsed="false">
      <c r="A91" s="8" t="n">
        <v>87</v>
      </c>
      <c r="B91" s="9"/>
      <c r="C91" s="9"/>
      <c r="D91" s="9"/>
      <c r="E91" s="9"/>
      <c r="F91" s="9"/>
      <c r="G91" s="9"/>
      <c r="H91" s="9"/>
      <c r="I91" s="9"/>
      <c r="J91" s="8" t="str">
        <f aca="false">IF(COUNT(B91:E91)&lt;4,"",IF(AND(B91&lt;=C91,C91&lt;=D91,D91&lt;=E91),"OK","Loại"))</f>
        <v/>
      </c>
    </row>
    <row r="92" customFormat="false" ht="15" hidden="false" customHeight="false" outlineLevel="0" collapsed="false">
      <c r="A92" s="8" t="n">
        <v>88</v>
      </c>
      <c r="B92" s="9"/>
      <c r="C92" s="9"/>
      <c r="D92" s="9"/>
      <c r="E92" s="9"/>
      <c r="F92" s="9"/>
      <c r="G92" s="9"/>
      <c r="H92" s="9"/>
      <c r="I92" s="9"/>
      <c r="J92" s="8" t="str">
        <f aca="false">IF(COUNT(B92:E92)&lt;4,"",IF(AND(B92&lt;=C92,C92&lt;=D92,D92&lt;=E92),"OK","Loại"))</f>
        <v/>
      </c>
    </row>
    <row r="93" customFormat="false" ht="15" hidden="false" customHeight="false" outlineLevel="0" collapsed="false">
      <c r="A93" s="8" t="n">
        <v>89</v>
      </c>
      <c r="B93" s="9"/>
      <c r="C93" s="9"/>
      <c r="D93" s="9"/>
      <c r="E93" s="9"/>
      <c r="F93" s="9"/>
      <c r="G93" s="9"/>
      <c r="H93" s="9"/>
      <c r="I93" s="9"/>
      <c r="J93" s="8" t="str">
        <f aca="false">IF(COUNT(B93:E93)&lt;4,"",IF(AND(B93&lt;=C93,C93&lt;=D93,D93&lt;=E93),"OK","Loại"))</f>
        <v/>
      </c>
    </row>
    <row r="94" customFormat="false" ht="15" hidden="false" customHeight="false" outlineLevel="0" collapsed="false">
      <c r="A94" s="8" t="n">
        <v>90</v>
      </c>
      <c r="B94" s="9"/>
      <c r="C94" s="9"/>
      <c r="D94" s="9"/>
      <c r="E94" s="9"/>
      <c r="F94" s="9"/>
      <c r="G94" s="9"/>
      <c r="H94" s="9"/>
      <c r="I94" s="9"/>
      <c r="J94" s="8" t="str">
        <f aca="false">IF(COUNT(B94:E94)&lt;4,"",IF(AND(B94&lt;=C94,C94&lt;=D94,D94&lt;=E94),"OK","Loại"))</f>
        <v/>
      </c>
    </row>
    <row r="95" customFormat="false" ht="15" hidden="false" customHeight="false" outlineLevel="0" collapsed="false">
      <c r="A95" s="8" t="n">
        <v>91</v>
      </c>
      <c r="B95" s="9"/>
      <c r="C95" s="9"/>
      <c r="D95" s="9"/>
      <c r="E95" s="9"/>
      <c r="F95" s="9"/>
      <c r="G95" s="9"/>
      <c r="H95" s="9"/>
      <c r="I95" s="9"/>
      <c r="J95" s="8" t="str">
        <f aca="false">IF(COUNT(B95:E95)&lt;4,"",IF(AND(B95&lt;=C95,C95&lt;=D95,D95&lt;=E95),"OK","Loại"))</f>
        <v/>
      </c>
    </row>
    <row r="96" customFormat="false" ht="15" hidden="false" customHeight="false" outlineLevel="0" collapsed="false">
      <c r="A96" s="8" t="n">
        <v>92</v>
      </c>
      <c r="B96" s="9"/>
      <c r="C96" s="9"/>
      <c r="D96" s="9"/>
      <c r="E96" s="9"/>
      <c r="F96" s="9"/>
      <c r="G96" s="9"/>
      <c r="H96" s="9"/>
      <c r="I96" s="9"/>
      <c r="J96" s="8" t="str">
        <f aca="false">IF(COUNT(B96:E96)&lt;4,"",IF(AND(B96&lt;=C96,C96&lt;=D96,D96&lt;=E96),"OK","Loại"))</f>
        <v/>
      </c>
    </row>
    <row r="97" customFormat="false" ht="15" hidden="false" customHeight="false" outlineLevel="0" collapsed="false">
      <c r="A97" s="8" t="n">
        <v>93</v>
      </c>
      <c r="B97" s="9"/>
      <c r="C97" s="9"/>
      <c r="D97" s="9"/>
      <c r="E97" s="9"/>
      <c r="F97" s="9"/>
      <c r="G97" s="9"/>
      <c r="H97" s="9"/>
      <c r="I97" s="9"/>
      <c r="J97" s="8" t="str">
        <f aca="false">IF(COUNT(B97:E97)&lt;4,"",IF(AND(B97&lt;=C97,C97&lt;=D97,D97&lt;=E97),"OK","Loại"))</f>
        <v/>
      </c>
    </row>
    <row r="98" customFormat="false" ht="15" hidden="false" customHeight="false" outlineLevel="0" collapsed="false">
      <c r="A98" s="8" t="n">
        <v>94</v>
      </c>
      <c r="B98" s="9"/>
      <c r="C98" s="9"/>
      <c r="D98" s="9"/>
      <c r="E98" s="9"/>
      <c r="F98" s="9"/>
      <c r="G98" s="9"/>
      <c r="H98" s="9"/>
      <c r="I98" s="9"/>
      <c r="J98" s="8" t="str">
        <f aca="false">IF(COUNT(B98:E98)&lt;4,"",IF(AND(B98&lt;=C98,C98&lt;=D98,D98&lt;=E98),"OK","Loại"))</f>
        <v/>
      </c>
    </row>
    <row r="99" customFormat="false" ht="15" hidden="false" customHeight="false" outlineLevel="0" collapsed="false">
      <c r="A99" s="8" t="n">
        <v>95</v>
      </c>
      <c r="B99" s="9"/>
      <c r="C99" s="9"/>
      <c r="D99" s="9"/>
      <c r="E99" s="9"/>
      <c r="F99" s="9"/>
      <c r="G99" s="9"/>
      <c r="H99" s="9"/>
      <c r="I99" s="9"/>
      <c r="J99" s="8" t="str">
        <f aca="false">IF(COUNT(B99:E99)&lt;4,"",IF(AND(B99&lt;=C99,C99&lt;=D99,D99&lt;=E99),"OK","Loại"))</f>
        <v/>
      </c>
    </row>
    <row r="100" customFormat="false" ht="15" hidden="false" customHeight="false" outlineLevel="0" collapsed="false">
      <c r="A100" s="8" t="n">
        <v>96</v>
      </c>
      <c r="B100" s="9"/>
      <c r="C100" s="9"/>
      <c r="D100" s="9"/>
      <c r="E100" s="9"/>
      <c r="F100" s="9"/>
      <c r="G100" s="9"/>
      <c r="H100" s="9"/>
      <c r="I100" s="9"/>
      <c r="J100" s="8" t="str">
        <f aca="false">IF(COUNT(B100:E100)&lt;4,"",IF(AND(B100&lt;=C100,C100&lt;=D100,D100&lt;=E100),"OK","Loại"))</f>
        <v/>
      </c>
    </row>
    <row r="101" customFormat="false" ht="15" hidden="false" customHeight="false" outlineLevel="0" collapsed="false">
      <c r="A101" s="8" t="n">
        <v>97</v>
      </c>
      <c r="B101" s="9"/>
      <c r="C101" s="9"/>
      <c r="D101" s="9"/>
      <c r="E101" s="9"/>
      <c r="F101" s="9"/>
      <c r="G101" s="9"/>
      <c r="H101" s="9"/>
      <c r="I101" s="9"/>
      <c r="J101" s="8" t="str">
        <f aca="false">IF(COUNT(B101:E101)&lt;4,"",IF(AND(B101&lt;=C101,C101&lt;=D101,D101&lt;=E101),"OK","Loại"))</f>
        <v/>
      </c>
    </row>
    <row r="102" customFormat="false" ht="15" hidden="false" customHeight="false" outlineLevel="0" collapsed="false">
      <c r="A102" s="8" t="n">
        <v>98</v>
      </c>
      <c r="B102" s="9"/>
      <c r="C102" s="9"/>
      <c r="D102" s="9"/>
      <c r="E102" s="9"/>
      <c r="F102" s="9"/>
      <c r="G102" s="9"/>
      <c r="H102" s="9"/>
      <c r="I102" s="9"/>
      <c r="J102" s="8" t="str">
        <f aca="false">IF(COUNT(B102:E102)&lt;4,"",IF(AND(B102&lt;=C102,C102&lt;=D102,D102&lt;=E102),"OK","Loại"))</f>
        <v/>
      </c>
    </row>
    <row r="103" customFormat="false" ht="15" hidden="false" customHeight="false" outlineLevel="0" collapsed="false">
      <c r="A103" s="8" t="n">
        <v>99</v>
      </c>
      <c r="B103" s="9"/>
      <c r="C103" s="9"/>
      <c r="D103" s="9"/>
      <c r="E103" s="9"/>
      <c r="F103" s="9"/>
      <c r="G103" s="9"/>
      <c r="H103" s="9"/>
      <c r="I103" s="9"/>
      <c r="J103" s="8" t="str">
        <f aca="false">IF(COUNT(B103:E103)&lt;4,"",IF(AND(B103&lt;=C103,C103&lt;=D103,D103&lt;=E103),"OK","Loại"))</f>
        <v/>
      </c>
    </row>
    <row r="104" customFormat="false" ht="15" hidden="false" customHeight="false" outlineLevel="0" collapsed="false">
      <c r="A104" s="8" t="n">
        <v>100</v>
      </c>
      <c r="B104" s="9"/>
      <c r="C104" s="9"/>
      <c r="D104" s="9"/>
      <c r="E104" s="9"/>
      <c r="F104" s="9"/>
      <c r="G104" s="9"/>
      <c r="H104" s="9"/>
      <c r="I104" s="9"/>
      <c r="J104" s="8" t="str">
        <f aca="false">IF(COUNT(B104:E104)&lt;4,"",IF(AND(B104&lt;=C104,C104&lt;=D104,D104&lt;=E104),"OK","Loại"))</f>
        <v/>
      </c>
    </row>
    <row r="105" customFormat="false" ht="15" hidden="false" customHeight="false" outlineLevel="0" collapsed="false">
      <c r="A105" s="8" t="n">
        <v>101</v>
      </c>
      <c r="B105" s="9"/>
      <c r="C105" s="9"/>
      <c r="D105" s="9"/>
      <c r="E105" s="9"/>
      <c r="F105" s="9"/>
      <c r="G105" s="9"/>
      <c r="H105" s="9"/>
      <c r="I105" s="9"/>
      <c r="J105" s="8" t="str">
        <f aca="false">IF(COUNT(B105:E105)&lt;4,"",IF(AND(B105&lt;=C105,C105&lt;=D105,D105&lt;=E105),"OK","Loại"))</f>
        <v/>
      </c>
    </row>
    <row r="106" customFormat="false" ht="15" hidden="false" customHeight="false" outlineLevel="0" collapsed="false">
      <c r="A106" s="8" t="n">
        <v>102</v>
      </c>
      <c r="B106" s="9"/>
      <c r="C106" s="9"/>
      <c r="D106" s="9"/>
      <c r="E106" s="9"/>
      <c r="F106" s="9"/>
      <c r="G106" s="9"/>
      <c r="H106" s="9"/>
      <c r="I106" s="9"/>
      <c r="J106" s="8" t="str">
        <f aca="false">IF(COUNT(B106:E106)&lt;4,"",IF(AND(B106&lt;=C106,C106&lt;=D106,D106&lt;=E106),"OK","Loại"))</f>
        <v/>
      </c>
    </row>
    <row r="107" customFormat="false" ht="15" hidden="false" customHeight="false" outlineLevel="0" collapsed="false">
      <c r="A107" s="8" t="n">
        <v>103</v>
      </c>
      <c r="B107" s="9"/>
      <c r="C107" s="9"/>
      <c r="D107" s="9"/>
      <c r="E107" s="9"/>
      <c r="F107" s="9"/>
      <c r="G107" s="9"/>
      <c r="H107" s="9"/>
      <c r="I107" s="9"/>
      <c r="J107" s="8" t="str">
        <f aca="false">IF(COUNT(B107:E107)&lt;4,"",IF(AND(B107&lt;=C107,C107&lt;=D107,D107&lt;=E107),"OK","Loại"))</f>
        <v/>
      </c>
    </row>
    <row r="108" customFormat="false" ht="15" hidden="false" customHeight="false" outlineLevel="0" collapsed="false">
      <c r="A108" s="8" t="n">
        <v>104</v>
      </c>
      <c r="B108" s="9"/>
      <c r="C108" s="9"/>
      <c r="D108" s="9"/>
      <c r="E108" s="9"/>
      <c r="F108" s="9"/>
      <c r="G108" s="9"/>
      <c r="H108" s="9"/>
      <c r="I108" s="9"/>
      <c r="J108" s="8" t="str">
        <f aca="false">IF(COUNT(B108:E108)&lt;4,"",IF(AND(B108&lt;=C108,C108&lt;=D108,D108&lt;=E108),"OK","Loại"))</f>
        <v/>
      </c>
    </row>
    <row r="109" customFormat="false" ht="15" hidden="false" customHeight="false" outlineLevel="0" collapsed="false">
      <c r="A109" s="8" t="n">
        <v>105</v>
      </c>
      <c r="B109" s="9"/>
      <c r="C109" s="9"/>
      <c r="D109" s="9"/>
      <c r="E109" s="9"/>
      <c r="F109" s="9"/>
      <c r="G109" s="9"/>
      <c r="H109" s="9"/>
      <c r="I109" s="9"/>
      <c r="J109" s="8" t="str">
        <f aca="false">IF(COUNT(B109:E109)&lt;4,"",IF(AND(B109&lt;=C109,C109&lt;=D109,D109&lt;=E109),"OK","Loại"))</f>
        <v/>
      </c>
    </row>
    <row r="110" customFormat="false" ht="15" hidden="false" customHeight="false" outlineLevel="0" collapsed="false">
      <c r="A110" s="8" t="n">
        <v>106</v>
      </c>
      <c r="B110" s="9"/>
      <c r="C110" s="9"/>
      <c r="D110" s="9"/>
      <c r="E110" s="9"/>
      <c r="F110" s="9"/>
      <c r="G110" s="9"/>
      <c r="H110" s="9"/>
      <c r="I110" s="9"/>
      <c r="J110" s="8" t="str">
        <f aca="false">IF(COUNT(B110:E110)&lt;4,"",IF(AND(B110&lt;=C110,C110&lt;=D110,D110&lt;=E110),"OK","Loại"))</f>
        <v/>
      </c>
    </row>
    <row r="111" customFormat="false" ht="15" hidden="false" customHeight="false" outlineLevel="0" collapsed="false">
      <c r="A111" s="8" t="n">
        <v>107</v>
      </c>
      <c r="B111" s="9"/>
      <c r="C111" s="9"/>
      <c r="D111" s="9"/>
      <c r="E111" s="9"/>
      <c r="F111" s="9"/>
      <c r="G111" s="9"/>
      <c r="H111" s="9"/>
      <c r="I111" s="9"/>
      <c r="J111" s="8" t="str">
        <f aca="false">IF(COUNT(B111:E111)&lt;4,"",IF(AND(B111&lt;=C111,C111&lt;=D111,D111&lt;=E111),"OK","Loại"))</f>
        <v/>
      </c>
    </row>
    <row r="112" customFormat="false" ht="15" hidden="false" customHeight="false" outlineLevel="0" collapsed="false">
      <c r="A112" s="8" t="n">
        <v>108</v>
      </c>
      <c r="B112" s="9"/>
      <c r="C112" s="9"/>
      <c r="D112" s="9"/>
      <c r="E112" s="9"/>
      <c r="F112" s="9"/>
      <c r="G112" s="9"/>
      <c r="H112" s="9"/>
      <c r="I112" s="9"/>
      <c r="J112" s="8" t="str">
        <f aca="false">IF(COUNT(B112:E112)&lt;4,"",IF(AND(B112&lt;=C112,C112&lt;=D112,D112&lt;=E112),"OK","Loại"))</f>
        <v/>
      </c>
    </row>
    <row r="113" customFormat="false" ht="15" hidden="false" customHeight="false" outlineLevel="0" collapsed="false">
      <c r="A113" s="8" t="n">
        <v>109</v>
      </c>
      <c r="B113" s="9"/>
      <c r="C113" s="9"/>
      <c r="D113" s="9"/>
      <c r="E113" s="9"/>
      <c r="F113" s="9"/>
      <c r="G113" s="9"/>
      <c r="H113" s="9"/>
      <c r="I113" s="9"/>
      <c r="J113" s="8" t="str">
        <f aca="false">IF(COUNT(B113:E113)&lt;4,"",IF(AND(B113&lt;=C113,C113&lt;=D113,D113&lt;=E113),"OK","Loại"))</f>
        <v/>
      </c>
    </row>
    <row r="114" customFormat="false" ht="15" hidden="false" customHeight="false" outlineLevel="0" collapsed="false">
      <c r="A114" s="8" t="n">
        <v>110</v>
      </c>
      <c r="B114" s="9"/>
      <c r="C114" s="9"/>
      <c r="D114" s="9"/>
      <c r="E114" s="9"/>
      <c r="F114" s="9"/>
      <c r="G114" s="9"/>
      <c r="H114" s="9"/>
      <c r="I114" s="9"/>
      <c r="J114" s="8" t="str">
        <f aca="false">IF(COUNT(B114:E114)&lt;4,"",IF(AND(B114&lt;=C114,C114&lt;=D114,D114&lt;=E114),"OK","Loại"))</f>
        <v/>
      </c>
    </row>
    <row r="115" customFormat="false" ht="15" hidden="false" customHeight="false" outlineLevel="0" collapsed="false">
      <c r="A115" s="8" t="n">
        <v>111</v>
      </c>
      <c r="B115" s="9"/>
      <c r="C115" s="9"/>
      <c r="D115" s="9"/>
      <c r="E115" s="9"/>
      <c r="F115" s="9"/>
      <c r="G115" s="9"/>
      <c r="H115" s="9"/>
      <c r="I115" s="9"/>
      <c r="J115" s="8" t="str">
        <f aca="false">IF(COUNT(B115:E115)&lt;4,"",IF(AND(B115&lt;=C115,C115&lt;=D115,D115&lt;=E115),"OK","Loại"))</f>
        <v/>
      </c>
    </row>
    <row r="116" customFormat="false" ht="15" hidden="false" customHeight="false" outlineLevel="0" collapsed="false">
      <c r="A116" s="8" t="n">
        <v>112</v>
      </c>
      <c r="B116" s="9"/>
      <c r="C116" s="9"/>
      <c r="D116" s="9"/>
      <c r="E116" s="9"/>
      <c r="F116" s="9"/>
      <c r="G116" s="9"/>
      <c r="H116" s="9"/>
      <c r="I116" s="9"/>
      <c r="J116" s="8" t="str">
        <f aca="false">IF(COUNT(B116:E116)&lt;4,"",IF(AND(B116&lt;=C116,C116&lt;=D116,D116&lt;=E116),"OK","Loại"))</f>
        <v/>
      </c>
    </row>
    <row r="117" customFormat="false" ht="15" hidden="false" customHeight="false" outlineLevel="0" collapsed="false">
      <c r="A117" s="8" t="n">
        <v>113</v>
      </c>
      <c r="B117" s="9"/>
      <c r="C117" s="9"/>
      <c r="D117" s="9"/>
      <c r="E117" s="9"/>
      <c r="F117" s="9"/>
      <c r="G117" s="9"/>
      <c r="H117" s="9"/>
      <c r="I117" s="9"/>
      <c r="J117" s="8" t="str">
        <f aca="false">IF(COUNT(B117:E117)&lt;4,"",IF(AND(B117&lt;=C117,C117&lt;=D117,D117&lt;=E117),"OK","Loại"))</f>
        <v/>
      </c>
    </row>
    <row r="118" customFormat="false" ht="15" hidden="false" customHeight="false" outlineLevel="0" collapsed="false">
      <c r="A118" s="8" t="n">
        <v>114</v>
      </c>
      <c r="B118" s="9"/>
      <c r="C118" s="9"/>
      <c r="D118" s="9"/>
      <c r="E118" s="9"/>
      <c r="F118" s="9"/>
      <c r="G118" s="9"/>
      <c r="H118" s="9"/>
      <c r="I118" s="9"/>
      <c r="J118" s="8" t="str">
        <f aca="false">IF(COUNT(B118:E118)&lt;4,"",IF(AND(B118&lt;=C118,C118&lt;=D118,D118&lt;=E118),"OK","Loại"))</f>
        <v/>
      </c>
    </row>
    <row r="119" customFormat="false" ht="15" hidden="false" customHeight="false" outlineLevel="0" collapsed="false">
      <c r="A119" s="8" t="n">
        <v>115</v>
      </c>
      <c r="B119" s="9"/>
      <c r="C119" s="9"/>
      <c r="D119" s="9"/>
      <c r="E119" s="9"/>
      <c r="F119" s="9"/>
      <c r="G119" s="9"/>
      <c r="H119" s="9"/>
      <c r="I119" s="9"/>
      <c r="J119" s="8" t="str">
        <f aca="false">IF(COUNT(B119:E119)&lt;4,"",IF(AND(B119&lt;=C119,C119&lt;=D119,D119&lt;=E119),"OK","Loại"))</f>
        <v/>
      </c>
    </row>
    <row r="120" customFormat="false" ht="15" hidden="false" customHeight="false" outlineLevel="0" collapsed="false">
      <c r="A120" s="8" t="n">
        <v>116</v>
      </c>
      <c r="B120" s="9"/>
      <c r="C120" s="9"/>
      <c r="D120" s="9"/>
      <c r="E120" s="9"/>
      <c r="F120" s="9"/>
      <c r="G120" s="9"/>
      <c r="H120" s="9"/>
      <c r="I120" s="9"/>
      <c r="J120" s="8" t="str">
        <f aca="false">IF(COUNT(B120:E120)&lt;4,"",IF(AND(B120&lt;=C120,C120&lt;=D120,D120&lt;=E120),"OK","Loại"))</f>
        <v/>
      </c>
    </row>
    <row r="121" customFormat="false" ht="15" hidden="false" customHeight="false" outlineLevel="0" collapsed="false">
      <c r="A121" s="8" t="n">
        <v>117</v>
      </c>
      <c r="B121" s="9"/>
      <c r="C121" s="9"/>
      <c r="D121" s="9"/>
      <c r="E121" s="9"/>
      <c r="F121" s="9"/>
      <c r="G121" s="9"/>
      <c r="H121" s="9"/>
      <c r="I121" s="9"/>
      <c r="J121" s="8" t="str">
        <f aca="false">IF(COUNT(B121:E121)&lt;4,"",IF(AND(B121&lt;=C121,C121&lt;=D121,D121&lt;=E121),"OK","Loại"))</f>
        <v/>
      </c>
    </row>
    <row r="122" customFormat="false" ht="15" hidden="false" customHeight="false" outlineLevel="0" collapsed="false">
      <c r="A122" s="8" t="n">
        <v>118</v>
      </c>
      <c r="B122" s="9"/>
      <c r="C122" s="9"/>
      <c r="D122" s="9"/>
      <c r="E122" s="9"/>
      <c r="F122" s="9"/>
      <c r="G122" s="9"/>
      <c r="H122" s="9"/>
      <c r="I122" s="9"/>
      <c r="J122" s="8" t="str">
        <f aca="false">IF(COUNT(B122:E122)&lt;4,"",IF(AND(B122&lt;=C122,C122&lt;=D122,D122&lt;=E122),"OK","Loại"))</f>
        <v/>
      </c>
    </row>
    <row r="123" customFormat="false" ht="15" hidden="false" customHeight="false" outlineLevel="0" collapsed="false">
      <c r="A123" s="8" t="n">
        <v>119</v>
      </c>
      <c r="B123" s="9"/>
      <c r="C123" s="9"/>
      <c r="D123" s="9"/>
      <c r="E123" s="9"/>
      <c r="F123" s="9"/>
      <c r="G123" s="9"/>
      <c r="H123" s="9"/>
      <c r="I123" s="9"/>
      <c r="J123" s="8" t="str">
        <f aca="false">IF(COUNT(B123:E123)&lt;4,"",IF(AND(B123&lt;=C123,C123&lt;=D123,D123&lt;=E123),"OK","Loại"))</f>
        <v/>
      </c>
    </row>
    <row r="124" customFormat="false" ht="15" hidden="false" customHeight="false" outlineLevel="0" collapsed="false">
      <c r="A124" s="8" t="n">
        <v>120</v>
      </c>
      <c r="B124" s="9"/>
      <c r="C124" s="9"/>
      <c r="D124" s="9"/>
      <c r="E124" s="9"/>
      <c r="F124" s="9"/>
      <c r="G124" s="9"/>
      <c r="H124" s="9"/>
      <c r="I124" s="9"/>
      <c r="J124" s="8" t="str">
        <f aca="false">IF(COUNT(B124:E124)&lt;4,"",IF(AND(B124&lt;=C124,C124&lt;=D124,D124&lt;=E124),"OK","Loại"))</f>
        <v/>
      </c>
    </row>
    <row r="125" customFormat="false" ht="15" hidden="false" customHeight="false" outlineLevel="0" collapsed="false">
      <c r="A125" s="8" t="n">
        <v>121</v>
      </c>
      <c r="B125" s="9"/>
      <c r="C125" s="9"/>
      <c r="D125" s="9"/>
      <c r="E125" s="9"/>
      <c r="F125" s="9"/>
      <c r="G125" s="9"/>
      <c r="H125" s="9"/>
      <c r="I125" s="9"/>
      <c r="J125" s="8" t="str">
        <f aca="false">IF(COUNT(B125:E125)&lt;4,"",IF(AND(B125&lt;=C125,C125&lt;=D125,D125&lt;=E125),"OK","Loại"))</f>
        <v/>
      </c>
    </row>
    <row r="126" customFormat="false" ht="15" hidden="false" customHeight="false" outlineLevel="0" collapsed="false">
      <c r="A126" s="8" t="n">
        <v>122</v>
      </c>
      <c r="B126" s="9"/>
      <c r="C126" s="9"/>
      <c r="D126" s="9"/>
      <c r="E126" s="9"/>
      <c r="F126" s="9"/>
      <c r="G126" s="9"/>
      <c r="H126" s="9"/>
      <c r="I126" s="9"/>
      <c r="J126" s="8" t="str">
        <f aca="false">IF(COUNT(B126:E126)&lt;4,"",IF(AND(B126&lt;=C126,C126&lt;=D126,D126&lt;=E126),"OK","Loại"))</f>
        <v/>
      </c>
    </row>
    <row r="127" customFormat="false" ht="15" hidden="false" customHeight="false" outlineLevel="0" collapsed="false">
      <c r="A127" s="8" t="n">
        <v>123</v>
      </c>
      <c r="B127" s="9"/>
      <c r="C127" s="9"/>
      <c r="D127" s="9"/>
      <c r="E127" s="9"/>
      <c r="F127" s="9"/>
      <c r="G127" s="9"/>
      <c r="H127" s="9"/>
      <c r="I127" s="9"/>
      <c r="J127" s="8" t="str">
        <f aca="false">IF(COUNT(B127:E127)&lt;4,"",IF(AND(B127&lt;=C127,C127&lt;=D127,D127&lt;=E127),"OK","Loại"))</f>
        <v/>
      </c>
    </row>
    <row r="128" customFormat="false" ht="15" hidden="false" customHeight="false" outlineLevel="0" collapsed="false">
      <c r="A128" s="8" t="n">
        <v>124</v>
      </c>
      <c r="B128" s="9"/>
      <c r="C128" s="9"/>
      <c r="D128" s="9"/>
      <c r="E128" s="9"/>
      <c r="F128" s="9"/>
      <c r="G128" s="9"/>
      <c r="H128" s="9"/>
      <c r="I128" s="9"/>
      <c r="J128" s="8" t="str">
        <f aca="false">IF(COUNT(B128:E128)&lt;4,"",IF(AND(B128&lt;=C128,C128&lt;=D128,D128&lt;=E128),"OK","Loại"))</f>
        <v/>
      </c>
    </row>
    <row r="129" customFormat="false" ht="15" hidden="false" customHeight="false" outlineLevel="0" collapsed="false">
      <c r="A129" s="8" t="n">
        <v>125</v>
      </c>
      <c r="B129" s="9"/>
      <c r="C129" s="9"/>
      <c r="D129" s="9"/>
      <c r="E129" s="9"/>
      <c r="F129" s="9"/>
      <c r="G129" s="9"/>
      <c r="H129" s="9"/>
      <c r="I129" s="9"/>
      <c r="J129" s="8" t="str">
        <f aca="false">IF(COUNT(B129:E129)&lt;4,"",IF(AND(B129&lt;=C129,C129&lt;=D129,D129&lt;=E129),"OK","Loại"))</f>
        <v/>
      </c>
    </row>
    <row r="130" customFormat="false" ht="15" hidden="false" customHeight="false" outlineLevel="0" collapsed="false">
      <c r="A130" s="8" t="n">
        <v>126</v>
      </c>
      <c r="B130" s="9"/>
      <c r="C130" s="9"/>
      <c r="D130" s="9"/>
      <c r="E130" s="9"/>
      <c r="F130" s="9"/>
      <c r="G130" s="9"/>
      <c r="H130" s="9"/>
      <c r="I130" s="9"/>
      <c r="J130" s="8" t="str">
        <f aca="false">IF(COUNT(B130:E130)&lt;4,"",IF(AND(B130&lt;=C130,C130&lt;=D130,D130&lt;=E130),"OK","Loại"))</f>
        <v/>
      </c>
    </row>
    <row r="131" customFormat="false" ht="15" hidden="false" customHeight="false" outlineLevel="0" collapsed="false">
      <c r="A131" s="8" t="n">
        <v>127</v>
      </c>
      <c r="B131" s="9"/>
      <c r="C131" s="9"/>
      <c r="D131" s="9"/>
      <c r="E131" s="9"/>
      <c r="F131" s="9"/>
      <c r="G131" s="9"/>
      <c r="H131" s="9"/>
      <c r="I131" s="9"/>
      <c r="J131" s="8" t="str">
        <f aca="false">IF(COUNT(B131:E131)&lt;4,"",IF(AND(B131&lt;=C131,C131&lt;=D131,D131&lt;=E131),"OK","Loại"))</f>
        <v/>
      </c>
    </row>
    <row r="132" customFormat="false" ht="15" hidden="false" customHeight="false" outlineLevel="0" collapsed="false">
      <c r="A132" s="8" t="n">
        <v>128</v>
      </c>
      <c r="B132" s="9"/>
      <c r="C132" s="9"/>
      <c r="D132" s="9"/>
      <c r="E132" s="9"/>
      <c r="F132" s="9"/>
      <c r="G132" s="9"/>
      <c r="H132" s="9"/>
      <c r="I132" s="9"/>
      <c r="J132" s="8" t="str">
        <f aca="false">IF(COUNT(B132:E132)&lt;4,"",IF(AND(B132&lt;=C132,C132&lt;=D132,D132&lt;=E132),"OK","Loại"))</f>
        <v/>
      </c>
    </row>
    <row r="133" customFormat="false" ht="15" hidden="false" customHeight="false" outlineLevel="0" collapsed="false">
      <c r="A133" s="8" t="n">
        <v>129</v>
      </c>
      <c r="B133" s="9"/>
      <c r="C133" s="9"/>
      <c r="D133" s="9"/>
      <c r="E133" s="9"/>
      <c r="F133" s="9"/>
      <c r="G133" s="9"/>
      <c r="H133" s="9"/>
      <c r="I133" s="9"/>
      <c r="J133" s="8" t="str">
        <f aca="false">IF(COUNT(B133:E133)&lt;4,"",IF(AND(B133&lt;=C133,C133&lt;=D133,D133&lt;=E133),"OK","Loại"))</f>
        <v/>
      </c>
    </row>
    <row r="134" customFormat="false" ht="15" hidden="false" customHeight="false" outlineLevel="0" collapsed="false">
      <c r="A134" s="8" t="n">
        <v>130</v>
      </c>
      <c r="B134" s="9"/>
      <c r="C134" s="9"/>
      <c r="D134" s="9"/>
      <c r="E134" s="9"/>
      <c r="F134" s="9"/>
      <c r="G134" s="9"/>
      <c r="H134" s="9"/>
      <c r="I134" s="9"/>
      <c r="J134" s="8" t="str">
        <f aca="false">IF(COUNT(B134:E134)&lt;4,"",IF(AND(B134&lt;=C134,C134&lt;=D134,D134&lt;=E134),"OK","Loại"))</f>
        <v/>
      </c>
    </row>
    <row r="135" customFormat="false" ht="15" hidden="false" customHeight="false" outlineLevel="0" collapsed="false">
      <c r="A135" s="8" t="n">
        <v>131</v>
      </c>
      <c r="B135" s="9"/>
      <c r="C135" s="9"/>
      <c r="D135" s="9"/>
      <c r="E135" s="9"/>
      <c r="F135" s="9"/>
      <c r="G135" s="9"/>
      <c r="H135" s="9"/>
      <c r="I135" s="9"/>
      <c r="J135" s="8" t="str">
        <f aca="false">IF(COUNT(B135:E135)&lt;4,"",IF(AND(B135&lt;=C135,C135&lt;=D135,D135&lt;=E135),"OK","Loại"))</f>
        <v/>
      </c>
    </row>
    <row r="136" customFormat="false" ht="15" hidden="false" customHeight="false" outlineLevel="0" collapsed="false">
      <c r="A136" s="8" t="n">
        <v>132</v>
      </c>
      <c r="B136" s="9"/>
      <c r="C136" s="9"/>
      <c r="D136" s="9"/>
      <c r="E136" s="9"/>
      <c r="F136" s="9"/>
      <c r="G136" s="9"/>
      <c r="H136" s="9"/>
      <c r="I136" s="9"/>
      <c r="J136" s="8" t="str">
        <f aca="false">IF(COUNT(B136:E136)&lt;4,"",IF(AND(B136&lt;=C136,C136&lt;=D136,D136&lt;=E136),"OK","Loại"))</f>
        <v/>
      </c>
    </row>
    <row r="137" customFormat="false" ht="15" hidden="false" customHeight="false" outlineLevel="0" collapsed="false">
      <c r="A137" s="8" t="n">
        <v>133</v>
      </c>
      <c r="B137" s="9"/>
      <c r="C137" s="9"/>
      <c r="D137" s="9"/>
      <c r="E137" s="9"/>
      <c r="F137" s="9"/>
      <c r="G137" s="9"/>
      <c r="H137" s="9"/>
      <c r="I137" s="9"/>
      <c r="J137" s="8" t="str">
        <f aca="false">IF(COUNT(B137:E137)&lt;4,"",IF(AND(B137&lt;=C137,C137&lt;=D137,D137&lt;=E137),"OK","Loại"))</f>
        <v/>
      </c>
    </row>
    <row r="138" customFormat="false" ht="15" hidden="false" customHeight="false" outlineLevel="0" collapsed="false">
      <c r="A138" s="8" t="n">
        <v>134</v>
      </c>
      <c r="B138" s="9"/>
      <c r="C138" s="9"/>
      <c r="D138" s="9"/>
      <c r="E138" s="9"/>
      <c r="F138" s="9"/>
      <c r="G138" s="9"/>
      <c r="H138" s="9"/>
      <c r="I138" s="9"/>
      <c r="J138" s="8" t="str">
        <f aca="false">IF(COUNT(B138:E138)&lt;4,"",IF(AND(B138&lt;=C138,C138&lt;=D138,D138&lt;=E138),"OK","Loại"))</f>
        <v/>
      </c>
    </row>
    <row r="139" customFormat="false" ht="15" hidden="false" customHeight="false" outlineLevel="0" collapsed="false">
      <c r="A139" s="8" t="n">
        <v>135</v>
      </c>
      <c r="B139" s="9"/>
      <c r="C139" s="9"/>
      <c r="D139" s="9"/>
      <c r="E139" s="9"/>
      <c r="F139" s="9"/>
      <c r="G139" s="9"/>
      <c r="H139" s="9"/>
      <c r="I139" s="9"/>
      <c r="J139" s="8" t="str">
        <f aca="false">IF(COUNT(B139:E139)&lt;4,"",IF(AND(B139&lt;=C139,C139&lt;=D139,D139&lt;=E139),"OK","Loại"))</f>
        <v/>
      </c>
    </row>
    <row r="140" customFormat="false" ht="15" hidden="false" customHeight="false" outlineLevel="0" collapsed="false">
      <c r="A140" s="8" t="n">
        <v>136</v>
      </c>
      <c r="B140" s="9"/>
      <c r="C140" s="9"/>
      <c r="D140" s="9"/>
      <c r="E140" s="9"/>
      <c r="F140" s="9"/>
      <c r="G140" s="9"/>
      <c r="H140" s="9"/>
      <c r="I140" s="9"/>
      <c r="J140" s="8" t="str">
        <f aca="false">IF(COUNT(B140:E140)&lt;4,"",IF(AND(B140&lt;=C140,C140&lt;=D140,D140&lt;=E140),"OK","Loại"))</f>
        <v/>
      </c>
    </row>
    <row r="141" customFormat="false" ht="15" hidden="false" customHeight="false" outlineLevel="0" collapsed="false">
      <c r="A141" s="8" t="n">
        <v>137</v>
      </c>
      <c r="B141" s="9"/>
      <c r="C141" s="9"/>
      <c r="D141" s="9"/>
      <c r="E141" s="9"/>
      <c r="F141" s="9"/>
      <c r="G141" s="9"/>
      <c r="H141" s="9"/>
      <c r="I141" s="9"/>
      <c r="J141" s="8" t="str">
        <f aca="false">IF(COUNT(B141:E141)&lt;4,"",IF(AND(B141&lt;=C141,C141&lt;=D141,D141&lt;=E141),"OK","Loại"))</f>
        <v/>
      </c>
    </row>
    <row r="142" customFormat="false" ht="15" hidden="false" customHeight="false" outlineLevel="0" collapsed="false">
      <c r="A142" s="8" t="n">
        <v>138</v>
      </c>
      <c r="B142" s="9"/>
      <c r="C142" s="9"/>
      <c r="D142" s="9"/>
      <c r="E142" s="9"/>
      <c r="F142" s="9"/>
      <c r="G142" s="9"/>
      <c r="H142" s="9"/>
      <c r="I142" s="9"/>
      <c r="J142" s="8" t="str">
        <f aca="false">IF(COUNT(B142:E142)&lt;4,"",IF(AND(B142&lt;=C142,C142&lt;=D142,D142&lt;=E142),"OK","Loại"))</f>
        <v/>
      </c>
    </row>
    <row r="143" customFormat="false" ht="15" hidden="false" customHeight="false" outlineLevel="0" collapsed="false">
      <c r="A143" s="8" t="n">
        <v>139</v>
      </c>
      <c r="B143" s="9"/>
      <c r="C143" s="9"/>
      <c r="D143" s="9"/>
      <c r="E143" s="9"/>
      <c r="F143" s="9"/>
      <c r="G143" s="9"/>
      <c r="H143" s="9"/>
      <c r="I143" s="9"/>
      <c r="J143" s="8" t="str">
        <f aca="false">IF(COUNT(B143:E143)&lt;4,"",IF(AND(B143&lt;=C143,C143&lt;=D143,D143&lt;=E143),"OK","Loại"))</f>
        <v/>
      </c>
    </row>
    <row r="144" customFormat="false" ht="15" hidden="false" customHeight="false" outlineLevel="0" collapsed="false">
      <c r="A144" s="8" t="n">
        <v>140</v>
      </c>
      <c r="B144" s="9"/>
      <c r="C144" s="9"/>
      <c r="D144" s="9"/>
      <c r="E144" s="9"/>
      <c r="F144" s="9"/>
      <c r="G144" s="9"/>
      <c r="H144" s="9"/>
      <c r="I144" s="9"/>
      <c r="J144" s="8" t="str">
        <f aca="false">IF(COUNT(B144:E144)&lt;4,"",IF(AND(B144&lt;=C144,C144&lt;=D144,D144&lt;=E144),"OK","Loại"))</f>
        <v/>
      </c>
    </row>
    <row r="145" customFormat="false" ht="15" hidden="false" customHeight="false" outlineLevel="0" collapsed="false">
      <c r="A145" s="8" t="n">
        <v>141</v>
      </c>
      <c r="B145" s="9"/>
      <c r="C145" s="9"/>
      <c r="D145" s="9"/>
      <c r="E145" s="9"/>
      <c r="F145" s="9"/>
      <c r="G145" s="9"/>
      <c r="H145" s="9"/>
      <c r="I145" s="9"/>
      <c r="J145" s="8" t="str">
        <f aca="false">IF(COUNT(B145:E145)&lt;4,"",IF(AND(B145&lt;=C145,C145&lt;=D145,D145&lt;=E145),"OK","Loại"))</f>
        <v/>
      </c>
    </row>
    <row r="146" customFormat="false" ht="15" hidden="false" customHeight="false" outlineLevel="0" collapsed="false">
      <c r="A146" s="8" t="n">
        <v>142</v>
      </c>
      <c r="B146" s="9"/>
      <c r="C146" s="9"/>
      <c r="D146" s="9"/>
      <c r="E146" s="9"/>
      <c r="F146" s="9"/>
      <c r="G146" s="9"/>
      <c r="H146" s="9"/>
      <c r="I146" s="9"/>
      <c r="J146" s="8" t="str">
        <f aca="false">IF(COUNT(B146:E146)&lt;4,"",IF(AND(B146&lt;=C146,C146&lt;=D146,D146&lt;=E146),"OK","Loại"))</f>
        <v/>
      </c>
    </row>
    <row r="147" customFormat="false" ht="15" hidden="false" customHeight="false" outlineLevel="0" collapsed="false">
      <c r="A147" s="8" t="n">
        <v>143</v>
      </c>
      <c r="B147" s="9"/>
      <c r="C147" s="9"/>
      <c r="D147" s="9"/>
      <c r="E147" s="9"/>
      <c r="F147" s="9"/>
      <c r="G147" s="9"/>
      <c r="H147" s="9"/>
      <c r="I147" s="9"/>
      <c r="J147" s="8" t="str">
        <f aca="false">IF(COUNT(B147:E147)&lt;4,"",IF(AND(B147&lt;=C147,C147&lt;=D147,D147&lt;=E147),"OK","Loại"))</f>
        <v/>
      </c>
    </row>
    <row r="148" customFormat="false" ht="15" hidden="false" customHeight="false" outlineLevel="0" collapsed="false">
      <c r="A148" s="8" t="n">
        <v>144</v>
      </c>
      <c r="B148" s="9"/>
      <c r="C148" s="9"/>
      <c r="D148" s="9"/>
      <c r="E148" s="9"/>
      <c r="F148" s="9"/>
      <c r="G148" s="9"/>
      <c r="H148" s="9"/>
      <c r="I148" s="9"/>
      <c r="J148" s="8" t="str">
        <f aca="false">IF(COUNT(B148:E148)&lt;4,"",IF(AND(B148&lt;=C148,C148&lt;=D148,D148&lt;=E148),"OK","Loại"))</f>
        <v/>
      </c>
    </row>
    <row r="149" customFormat="false" ht="15" hidden="false" customHeight="false" outlineLevel="0" collapsed="false">
      <c r="A149" s="8" t="n">
        <v>145</v>
      </c>
      <c r="B149" s="9"/>
      <c r="C149" s="9"/>
      <c r="D149" s="9"/>
      <c r="E149" s="9"/>
      <c r="F149" s="9"/>
      <c r="G149" s="9"/>
      <c r="H149" s="9"/>
      <c r="I149" s="9"/>
      <c r="J149" s="8" t="str">
        <f aca="false">IF(COUNT(B149:E149)&lt;4,"",IF(AND(B149&lt;=C149,C149&lt;=D149,D149&lt;=E149),"OK","Loại"))</f>
        <v/>
      </c>
    </row>
    <row r="150" customFormat="false" ht="15" hidden="false" customHeight="false" outlineLevel="0" collapsed="false">
      <c r="A150" s="8" t="n">
        <v>146</v>
      </c>
      <c r="B150" s="9"/>
      <c r="C150" s="9"/>
      <c r="D150" s="9"/>
      <c r="E150" s="9"/>
      <c r="F150" s="9"/>
      <c r="G150" s="9"/>
      <c r="H150" s="9"/>
      <c r="I150" s="9"/>
      <c r="J150" s="8" t="str">
        <f aca="false">IF(COUNT(B150:E150)&lt;4,"",IF(AND(B150&lt;=C150,C150&lt;=D150,D150&lt;=E150),"OK","Loại"))</f>
        <v/>
      </c>
    </row>
    <row r="151" customFormat="false" ht="15" hidden="false" customHeight="false" outlineLevel="0" collapsed="false">
      <c r="A151" s="8" t="n">
        <v>147</v>
      </c>
      <c r="B151" s="9"/>
      <c r="C151" s="9"/>
      <c r="D151" s="9"/>
      <c r="E151" s="9"/>
      <c r="F151" s="9"/>
      <c r="G151" s="9"/>
      <c r="H151" s="9"/>
      <c r="I151" s="9"/>
      <c r="J151" s="8" t="str">
        <f aca="false">IF(COUNT(B151:E151)&lt;4,"",IF(AND(B151&lt;=C151,C151&lt;=D151,D151&lt;=E151),"OK","Loại"))</f>
        <v/>
      </c>
    </row>
    <row r="152" customFormat="false" ht="15" hidden="false" customHeight="false" outlineLevel="0" collapsed="false">
      <c r="A152" s="8" t="n">
        <v>148</v>
      </c>
      <c r="B152" s="9"/>
      <c r="C152" s="9"/>
      <c r="D152" s="9"/>
      <c r="E152" s="9"/>
      <c r="F152" s="9"/>
      <c r="G152" s="9"/>
      <c r="H152" s="9"/>
      <c r="I152" s="9"/>
      <c r="J152" s="8" t="str">
        <f aca="false">IF(COUNT(B152:E152)&lt;4,"",IF(AND(B152&lt;=C152,C152&lt;=D152,D152&lt;=E152),"OK","Loại"))</f>
        <v/>
      </c>
    </row>
    <row r="153" customFormat="false" ht="15" hidden="false" customHeight="false" outlineLevel="0" collapsed="false">
      <c r="A153" s="8" t="n">
        <v>149</v>
      </c>
      <c r="B153" s="9"/>
      <c r="C153" s="9"/>
      <c r="D153" s="9"/>
      <c r="E153" s="9"/>
      <c r="F153" s="9"/>
      <c r="G153" s="9"/>
      <c r="H153" s="9"/>
      <c r="I153" s="9"/>
      <c r="J153" s="8" t="str">
        <f aca="false">IF(COUNT(B153:E153)&lt;4,"",IF(AND(B153&lt;=C153,C153&lt;=D153,D153&lt;=E153),"OK","Loại"))</f>
        <v/>
      </c>
    </row>
    <row r="154" customFormat="false" ht="15" hidden="false" customHeight="false" outlineLevel="0" collapsed="false">
      <c r="A154" s="8" t="n">
        <v>150</v>
      </c>
      <c r="B154" s="9"/>
      <c r="C154" s="9"/>
      <c r="D154" s="9"/>
      <c r="E154" s="9"/>
      <c r="F154" s="9"/>
      <c r="G154" s="9"/>
      <c r="H154" s="9"/>
      <c r="I154" s="9"/>
      <c r="J154" s="8" t="str">
        <f aca="false">IF(COUNT(B154:E154)&lt;4,"",IF(AND(B154&lt;=C154,C154&lt;=D154,D154&lt;=E154),"OK","Loại"))</f>
        <v/>
      </c>
    </row>
  </sheetData>
  <dataValidations count="1">
    <dataValidation allowBlank="true" errorStyle="stop" operator="between" showDropDown="false" showErrorMessage="false" showInputMessage="false" sqref="F5:I154" type="list">
      <formula1>"0,1"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5" min="4" style="0" width="12"/>
    <col collapsed="false" customWidth="true" hidden="false" outlineLevel="0" max="6" min="6" style="0" width="13"/>
    <col collapsed="false" customWidth="true" hidden="false" outlineLevel="0" max="7" min="7" style="0" width="10"/>
    <col collapsed="false" customWidth="true" hidden="false" outlineLevel="0" max="8" min="8" style="0" width="11"/>
    <col collapsed="false" customWidth="true" hidden="false" outlineLevel="0" max="10" min="9" style="0" width="12"/>
    <col collapsed="false" customWidth="true" hidden="false" outlineLevel="0" max="11" min="11" style="0" width="26"/>
  </cols>
  <sheetData>
    <row r="1" customFormat="false" ht="17.35" hidden="false" customHeight="false" outlineLevel="0" collapsed="false">
      <c r="A1" s="5" t="s">
        <v>11</v>
      </c>
    </row>
    <row r="2" customFormat="false" ht="15" hidden="false" customHeight="false" outlineLevel="0" collapsed="false">
      <c r="A2" s="6" t="s">
        <v>144</v>
      </c>
    </row>
    <row r="4" customFormat="false" ht="23.85" hidden="false" customHeight="false" outlineLevel="0" collapsed="false">
      <c r="A4" s="7" t="s">
        <v>57</v>
      </c>
      <c r="B4" s="7" t="s">
        <v>145</v>
      </c>
      <c r="C4" s="7" t="s">
        <v>146</v>
      </c>
      <c r="D4" s="7" t="s">
        <v>147</v>
      </c>
      <c r="E4" s="7" t="s">
        <v>148</v>
      </c>
      <c r="F4" s="7" t="s">
        <v>149</v>
      </c>
      <c r="G4" s="7" t="s">
        <v>150</v>
      </c>
      <c r="H4" s="7" t="s">
        <v>151</v>
      </c>
      <c r="I4" s="7" t="s">
        <v>152</v>
      </c>
      <c r="J4" s="7" t="s">
        <v>153</v>
      </c>
      <c r="K4" s="7" t="s">
        <v>154</v>
      </c>
    </row>
    <row r="5" customFormat="false" ht="15" hidden="false" customHeight="false" outlineLevel="0" collapsed="false">
      <c r="A5" s="8" t="n">
        <v>1</v>
      </c>
      <c r="B5" s="8" t="s">
        <v>155</v>
      </c>
      <c r="C5" s="9"/>
      <c r="D5" s="9"/>
      <c r="E5" s="9"/>
      <c r="F5" s="9"/>
      <c r="G5" s="17" t="str">
        <f aca="false">IF(AND(ISNUMBER(E5),E5&gt;0),F5/E5,"")</f>
        <v/>
      </c>
      <c r="H5" s="9"/>
      <c r="I5" s="17" t="str">
        <f aca="false">IF(AND(ISNUMBER(G5),ISNUMBER(H5)),G5*H5,"")</f>
        <v/>
      </c>
      <c r="J5" s="9"/>
      <c r="K5" s="9"/>
    </row>
    <row r="6" customFormat="false" ht="15" hidden="false" customHeight="false" outlineLevel="0" collapsed="false">
      <c r="A6" s="8" t="n">
        <v>2</v>
      </c>
      <c r="B6" s="8" t="s">
        <v>156</v>
      </c>
      <c r="C6" s="9"/>
      <c r="D6" s="9"/>
      <c r="E6" s="9"/>
      <c r="F6" s="9"/>
      <c r="G6" s="17" t="str">
        <f aca="false">IF(AND(ISNUMBER(E6),E6&gt;0),F6/E6,"")</f>
        <v/>
      </c>
      <c r="H6" s="9"/>
      <c r="I6" s="17" t="str">
        <f aca="false">IF(AND(ISNUMBER(G6),ISNUMBER(H6)),G6*H6,"")</f>
        <v/>
      </c>
      <c r="J6" s="9"/>
      <c r="K6" s="9"/>
    </row>
    <row r="7" customFormat="false" ht="15" hidden="false" customHeight="false" outlineLevel="0" collapsed="false">
      <c r="A7" s="8" t="n">
        <v>3</v>
      </c>
      <c r="B7" s="8" t="s">
        <v>157</v>
      </c>
      <c r="C7" s="9"/>
      <c r="D7" s="9"/>
      <c r="E7" s="9"/>
      <c r="F7" s="9"/>
      <c r="G7" s="17" t="str">
        <f aca="false">IF(AND(ISNUMBER(E7),E7&gt;0),F7/E7,"")</f>
        <v/>
      </c>
      <c r="H7" s="9"/>
      <c r="I7" s="17" t="str">
        <f aca="false">IF(AND(ISNUMBER(G7),ISNUMBER(H7)),G7*H7,"")</f>
        <v/>
      </c>
      <c r="J7" s="9"/>
      <c r="K7" s="9"/>
    </row>
    <row r="8" customFormat="false" ht="15" hidden="false" customHeight="false" outlineLevel="0" collapsed="false">
      <c r="A8" s="8" t="n">
        <v>4</v>
      </c>
      <c r="B8" s="8" t="s">
        <v>158</v>
      </c>
      <c r="C8" s="9"/>
      <c r="D8" s="9"/>
      <c r="E8" s="9"/>
      <c r="F8" s="9"/>
      <c r="G8" s="17" t="str">
        <f aca="false">IF(AND(ISNUMBER(E8),E8&gt;0),F8/E8,"")</f>
        <v/>
      </c>
      <c r="H8" s="9"/>
      <c r="I8" s="17" t="str">
        <f aca="false">IF(AND(ISNUMBER(G8),ISNUMBER(H8)),G8*H8,"")</f>
        <v/>
      </c>
      <c r="J8" s="9"/>
      <c r="K8" s="9"/>
    </row>
    <row r="9" customFormat="false" ht="15" hidden="false" customHeight="false" outlineLevel="0" collapsed="false">
      <c r="A9" s="8" t="n">
        <v>5</v>
      </c>
      <c r="B9" s="8" t="s">
        <v>159</v>
      </c>
      <c r="C9" s="9"/>
      <c r="D9" s="9"/>
      <c r="E9" s="9"/>
      <c r="F9" s="9"/>
      <c r="G9" s="17" t="str">
        <f aca="false">IF(AND(ISNUMBER(E9),E9&gt;0),F9/E9,"")</f>
        <v/>
      </c>
      <c r="H9" s="9"/>
      <c r="I9" s="17" t="str">
        <f aca="false">IF(AND(ISNUMBER(G9),ISNUMBER(H9)),G9*H9,"")</f>
        <v/>
      </c>
      <c r="J9" s="9"/>
      <c r="K9" s="9"/>
    </row>
    <row r="10" customFormat="false" ht="15" hidden="false" customHeight="false" outlineLevel="0" collapsed="false">
      <c r="A10" s="8" t="n">
        <v>6</v>
      </c>
      <c r="B10" s="8" t="s">
        <v>160</v>
      </c>
      <c r="C10" s="9"/>
      <c r="D10" s="9"/>
      <c r="E10" s="9"/>
      <c r="F10" s="9"/>
      <c r="G10" s="17" t="str">
        <f aca="false">IF(AND(ISNUMBER(E10),E10&gt;0),F10/E10,"")</f>
        <v/>
      </c>
      <c r="H10" s="9"/>
      <c r="I10" s="17" t="str">
        <f aca="false">IF(AND(ISNUMBER(G10),ISNUMBER(H10)),G10*H10,"")</f>
        <v/>
      </c>
      <c r="J10" s="9"/>
      <c r="K10" s="9"/>
    </row>
    <row r="11" customFormat="false" ht="15" hidden="false" customHeight="false" outlineLevel="0" collapsed="false">
      <c r="A11" s="8" t="n">
        <v>7</v>
      </c>
      <c r="B11" s="8" t="s">
        <v>161</v>
      </c>
      <c r="C11" s="9"/>
      <c r="D11" s="9"/>
      <c r="E11" s="9"/>
      <c r="F11" s="9"/>
      <c r="G11" s="17" t="str">
        <f aca="false">IF(AND(ISNUMBER(E11),E11&gt;0),F11/E11,"")</f>
        <v/>
      </c>
      <c r="H11" s="9"/>
      <c r="I11" s="17" t="str">
        <f aca="false">IF(AND(ISNUMBER(G11),ISNUMBER(H11)),G11*H11,"")</f>
        <v/>
      </c>
      <c r="J11" s="9"/>
      <c r="K11" s="9"/>
    </row>
    <row r="12" customFormat="false" ht="15" hidden="false" customHeight="false" outlineLevel="0" collapsed="false">
      <c r="A12" s="8" t="n">
        <v>8</v>
      </c>
      <c r="B12" s="8" t="s">
        <v>162</v>
      </c>
      <c r="C12" s="9"/>
      <c r="D12" s="9"/>
      <c r="E12" s="9"/>
      <c r="F12" s="9"/>
      <c r="G12" s="17" t="str">
        <f aca="false">IF(AND(ISNUMBER(E12),E12&gt;0),F12/E12,"")</f>
        <v/>
      </c>
      <c r="H12" s="9"/>
      <c r="I12" s="17" t="str">
        <f aca="false">IF(AND(ISNUMBER(G12),ISNUMBER(H12)),G12*H12,"")</f>
        <v/>
      </c>
      <c r="J12" s="9"/>
      <c r="K12" s="9"/>
    </row>
    <row r="13" customFormat="false" ht="15" hidden="false" customHeight="false" outlineLevel="0" collapsed="false">
      <c r="A13" s="8" t="n">
        <v>9</v>
      </c>
      <c r="B13" s="8" t="s">
        <v>163</v>
      </c>
      <c r="C13" s="9"/>
      <c r="D13" s="9"/>
      <c r="E13" s="9"/>
      <c r="F13" s="9"/>
      <c r="G13" s="17" t="str">
        <f aca="false">IF(AND(ISNUMBER(E13),E13&gt;0),F13/E13,"")</f>
        <v/>
      </c>
      <c r="H13" s="9"/>
      <c r="I13" s="17" t="str">
        <f aca="false">IF(AND(ISNUMBER(G13),ISNUMBER(H13)),G13*H13,"")</f>
        <v/>
      </c>
      <c r="J13" s="9"/>
      <c r="K13" s="9"/>
    </row>
    <row r="14" customFormat="false" ht="15" hidden="false" customHeight="false" outlineLevel="0" collapsed="false">
      <c r="A14" s="8" t="n">
        <v>10</v>
      </c>
      <c r="B14" s="8" t="s">
        <v>164</v>
      </c>
      <c r="C14" s="9"/>
      <c r="D14" s="9"/>
      <c r="E14" s="9"/>
      <c r="F14" s="9"/>
      <c r="G14" s="17" t="str">
        <f aca="false">IF(AND(ISNUMBER(E14),E14&gt;0),F14/E14,"")</f>
        <v/>
      </c>
      <c r="H14" s="9"/>
      <c r="I14" s="17" t="str">
        <f aca="false">IF(AND(ISNUMBER(G14),ISNUMBER(H14)),G14*H14,"")</f>
        <v/>
      </c>
      <c r="J14" s="9"/>
      <c r="K14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4" min="4" style="0" width="50"/>
  </cols>
  <sheetData>
    <row r="1" customFormat="false" ht="17.35" hidden="false" customHeight="false" outlineLevel="0" collapsed="false">
      <c r="A1" s="5" t="s">
        <v>13</v>
      </c>
    </row>
    <row r="2" customFormat="false" ht="15" hidden="false" customHeight="false" outlineLevel="0" collapsed="false">
      <c r="A2" s="6" t="s">
        <v>165</v>
      </c>
    </row>
    <row r="4" customFormat="false" ht="15" hidden="false" customHeight="false" outlineLevel="0" collapsed="false">
      <c r="A4" s="7" t="s">
        <v>166</v>
      </c>
      <c r="B4" s="7" t="s">
        <v>167</v>
      </c>
      <c r="C4" s="7" t="s">
        <v>168</v>
      </c>
      <c r="D4" s="7" t="s">
        <v>42</v>
      </c>
    </row>
    <row r="5" customFormat="false" ht="15" hidden="false" customHeight="false" outlineLevel="0" collapsed="false">
      <c r="A5" s="8" t="s">
        <v>169</v>
      </c>
      <c r="B5" s="18" t="n">
        <v>300000</v>
      </c>
      <c r="C5" s="8" t="s">
        <v>170</v>
      </c>
      <c r="D5" s="8" t="s">
        <v>171</v>
      </c>
    </row>
    <row r="6" customFormat="false" ht="15" hidden="false" customHeight="false" outlineLevel="0" collapsed="false">
      <c r="A6" s="8" t="s">
        <v>172</v>
      </c>
      <c r="B6" s="19" t="n">
        <v>0.05</v>
      </c>
      <c r="C6" s="8" t="s">
        <v>173</v>
      </c>
      <c r="D6" s="8" t="s">
        <v>171</v>
      </c>
    </row>
    <row r="7" customFormat="false" ht="15" hidden="false" customHeight="false" outlineLevel="0" collapsed="false">
      <c r="A7" s="8" t="s">
        <v>174</v>
      </c>
      <c r="B7" s="18" t="n">
        <v>45000</v>
      </c>
      <c r="C7" s="8" t="s">
        <v>170</v>
      </c>
      <c r="D7" s="8" t="s">
        <v>175</v>
      </c>
    </row>
    <row r="8" customFormat="false" ht="15" hidden="false" customHeight="false" outlineLevel="0" collapsed="false">
      <c r="A8" s="8" t="s">
        <v>176</v>
      </c>
      <c r="B8" s="18" t="n">
        <v>20000</v>
      </c>
      <c r="C8" s="8" t="s">
        <v>170</v>
      </c>
      <c r="D8" s="8"/>
    </row>
    <row r="9" customFormat="false" ht="15" hidden="false" customHeight="false" outlineLevel="0" collapsed="false">
      <c r="A9" s="8" t="s">
        <v>177</v>
      </c>
      <c r="B9" s="18" t="n">
        <v>5000</v>
      </c>
      <c r="C9" s="8" t="s">
        <v>170</v>
      </c>
      <c r="D9" s="8"/>
    </row>
    <row r="10" customFormat="false" ht="15" hidden="false" customHeight="false" outlineLevel="0" collapsed="false">
      <c r="A10" s="8" t="s">
        <v>178</v>
      </c>
      <c r="B10" s="19" t="n">
        <v>0.15</v>
      </c>
      <c r="C10" s="8" t="s">
        <v>173</v>
      </c>
      <c r="D10" s="8" t="s">
        <v>179</v>
      </c>
    </row>
    <row r="11" customFormat="false" ht="15" hidden="false" customHeight="false" outlineLevel="0" collapsed="false">
      <c r="A11" s="8" t="s">
        <v>180</v>
      </c>
      <c r="B11" s="19" t="n">
        <v>0.1</v>
      </c>
      <c r="C11" s="8" t="s">
        <v>173</v>
      </c>
      <c r="D11" s="8" t="s">
        <v>181</v>
      </c>
    </row>
    <row r="12" customFormat="false" ht="15" hidden="false" customHeight="false" outlineLevel="0" collapsed="false">
      <c r="A12" s="8" t="s">
        <v>182</v>
      </c>
      <c r="B12" s="18" t="n">
        <v>10000</v>
      </c>
      <c r="C12" s="8" t="s">
        <v>170</v>
      </c>
      <c r="D12" s="8"/>
    </row>
    <row r="13" customFormat="false" ht="15" hidden="false" customHeight="false" outlineLevel="0" collapsed="false">
      <c r="A13" s="8" t="s">
        <v>183</v>
      </c>
      <c r="B13" s="18" t="n">
        <v>5000</v>
      </c>
      <c r="C13" s="8" t="s">
        <v>170</v>
      </c>
      <c r="D13" s="8"/>
    </row>
    <row r="14" customFormat="false" ht="15" hidden="false" customHeight="false" outlineLevel="0" collapsed="false">
      <c r="A14" s="8" t="s">
        <v>184</v>
      </c>
      <c r="B14" s="19" t="n">
        <v>0.05</v>
      </c>
      <c r="C14" s="8" t="s">
        <v>173</v>
      </c>
      <c r="D14" s="8"/>
    </row>
    <row r="15" customFormat="false" ht="15" hidden="false" customHeight="false" outlineLevel="0" collapsed="false">
      <c r="A15" s="8" t="s">
        <v>185</v>
      </c>
      <c r="B15" s="18" t="n">
        <v>60000</v>
      </c>
      <c r="C15" s="8" t="s">
        <v>170</v>
      </c>
      <c r="D15" s="8" t="s">
        <v>186</v>
      </c>
    </row>
    <row r="16" customFormat="false" ht="15" hidden="false" customHeight="false" outlineLevel="0" collapsed="false">
      <c r="A16" s="8" t="s">
        <v>187</v>
      </c>
      <c r="B16" s="20" t="n">
        <v>1.8</v>
      </c>
      <c r="C16" s="8" t="s">
        <v>188</v>
      </c>
      <c r="D16" s="8" t="s">
        <v>189</v>
      </c>
    </row>
    <row r="19" customFormat="false" ht="15" hidden="false" customHeight="false" outlineLevel="0" collapsed="false">
      <c r="A19" s="21" t="s">
        <v>190</v>
      </c>
    </row>
    <row r="21" customFormat="false" ht="15" hidden="false" customHeight="false" outlineLevel="0" collapsed="false">
      <c r="A21" s="11" t="s">
        <v>191</v>
      </c>
      <c r="B21" s="17" t="n">
        <f aca="false">B5*(1-B6)</f>
        <v>285000</v>
      </c>
    </row>
    <row r="22" customFormat="false" ht="15" hidden="false" customHeight="false" outlineLevel="0" collapsed="false">
      <c r="A22" s="11" t="s">
        <v>192</v>
      </c>
      <c r="B22" s="12" t="n">
        <f aca="false">B21*(B10+B11)</f>
        <v>71250</v>
      </c>
    </row>
    <row r="23" customFormat="false" ht="15" hidden="false" customHeight="false" outlineLevel="0" collapsed="false">
      <c r="A23" s="11" t="s">
        <v>193</v>
      </c>
      <c r="B23" s="17" t="n">
        <f aca="false">B7+B8+B9+B12+B13</f>
        <v>85000</v>
      </c>
    </row>
    <row r="24" customFormat="false" ht="15" hidden="false" customHeight="false" outlineLevel="0" collapsed="false">
      <c r="A24" s="11" t="s">
        <v>194</v>
      </c>
      <c r="B24" s="17" t="n">
        <f aca="false">B21*B14</f>
        <v>14250</v>
      </c>
    </row>
    <row r="25" customFormat="false" ht="15" hidden="false" customHeight="false" outlineLevel="0" collapsed="false">
      <c r="A25" s="11" t="s">
        <v>195</v>
      </c>
      <c r="B25" s="17" t="n">
        <f aca="false">B21-B22-B23-B24</f>
        <v>114500</v>
      </c>
    </row>
    <row r="26" customFormat="false" ht="15" hidden="false" customHeight="false" outlineLevel="0" collapsed="false">
      <c r="A26" s="11" t="s">
        <v>196</v>
      </c>
      <c r="B26" s="12" t="n">
        <f aca="false">IF(B21&gt;0,B25/B21,"")</f>
        <v>0.401754385964912</v>
      </c>
    </row>
    <row r="27" customFormat="false" ht="15" hidden="false" customHeight="false" outlineLevel="0" collapsed="false">
      <c r="A27" s="11" t="s">
        <v>197</v>
      </c>
      <c r="B27" s="17" t="n">
        <f aca="false">B25-B15</f>
        <v>54500</v>
      </c>
    </row>
    <row r="28" customFormat="false" ht="15" hidden="false" customHeight="false" outlineLevel="0" collapsed="false">
      <c r="A28" s="11" t="s">
        <v>198</v>
      </c>
      <c r="B28" s="17" t="n">
        <f aca="false">B25*B16</f>
        <v>206100</v>
      </c>
    </row>
    <row r="29" customFormat="false" ht="15" hidden="false" customHeight="false" outlineLevel="0" collapsed="false">
      <c r="A29" s="11" t="s">
        <v>199</v>
      </c>
      <c r="B29" s="22" t="n">
        <f aca="false">IF(B15&gt;0,B28/B15,"")</f>
        <v>3.435</v>
      </c>
    </row>
    <row r="30" customFormat="false" ht="15" hidden="false" customHeight="false" outlineLevel="0" collapsed="false">
      <c r="A30" s="11" t="s">
        <v>200</v>
      </c>
      <c r="B30" s="22" t="n">
        <f aca="false">IF(B25&gt;0,B15/B25,"")</f>
        <v>0.524017467248908</v>
      </c>
    </row>
    <row r="32" customFormat="false" ht="22.35" hidden="false" customHeight="false" outlineLevel="0" collapsed="false">
      <c r="A32" s="23" t="s">
        <v>201</v>
      </c>
    </row>
  </sheetData>
  <conditionalFormatting sqref="B27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6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5" min="5" style="0" width="14"/>
    <col collapsed="false" customWidth="true" hidden="false" outlineLevel="0" max="6" min="6" style="0" width="8"/>
    <col collapsed="false" customWidth="true" hidden="false" outlineLevel="0" max="7" min="7" style="0" width="9"/>
    <col collapsed="false" customWidth="true" hidden="false" outlineLevel="0" max="8" min="8" style="0" width="10"/>
  </cols>
  <sheetData>
    <row r="1" customFormat="false" ht="17.35" hidden="false" customHeight="false" outlineLevel="0" collapsed="false">
      <c r="A1" s="5" t="s">
        <v>15</v>
      </c>
    </row>
    <row r="2" customFormat="false" ht="15" hidden="false" customHeight="false" outlineLevel="0" collapsed="false">
      <c r="A2" s="6" t="s">
        <v>202</v>
      </c>
    </row>
    <row r="4" customFormat="false" ht="15" hidden="false" customHeight="false" outlineLevel="0" collapsed="false">
      <c r="A4" s="7" t="s">
        <v>57</v>
      </c>
      <c r="B4" s="7" t="s">
        <v>203</v>
      </c>
      <c r="C4" s="7" t="s">
        <v>204</v>
      </c>
      <c r="D4" s="7" t="s">
        <v>205</v>
      </c>
      <c r="E4" s="7" t="s">
        <v>206</v>
      </c>
      <c r="F4" s="7" t="s">
        <v>207</v>
      </c>
      <c r="G4" s="7" t="s">
        <v>208</v>
      </c>
      <c r="H4" s="7" t="s">
        <v>209</v>
      </c>
    </row>
    <row r="5" customFormat="false" ht="15" hidden="false" customHeight="false" outlineLevel="0" collapsed="false">
      <c r="A5" s="8" t="n">
        <v>1</v>
      </c>
      <c r="B5" s="8" t="s">
        <v>210</v>
      </c>
      <c r="C5" s="9" t="n">
        <v>5</v>
      </c>
      <c r="D5" s="9" t="n">
        <v>5</v>
      </c>
      <c r="E5" s="9" t="n">
        <v>4</v>
      </c>
      <c r="F5" s="8" t="n">
        <f aca="false">SUM(C5:E5)</f>
        <v>14</v>
      </c>
      <c r="G5" s="8" t="n">
        <f aca="false">RANK(F5,$F$5:$F$24)+COUNTIF($F$5:F5,F5)-1</f>
        <v>1</v>
      </c>
      <c r="H5" s="8" t="str">
        <f aca="false">IF(G5&lt;=5,"TOP 5","")</f>
        <v>TOP 5</v>
      </c>
    </row>
    <row r="6" customFormat="false" ht="15" hidden="false" customHeight="false" outlineLevel="0" collapsed="false">
      <c r="A6" s="8" t="n">
        <v>2</v>
      </c>
      <c r="B6" s="8" t="s">
        <v>211</v>
      </c>
      <c r="C6" s="9" t="n">
        <v>5</v>
      </c>
      <c r="D6" s="9" t="n">
        <v>4</v>
      </c>
      <c r="E6" s="9" t="n">
        <v>2</v>
      </c>
      <c r="F6" s="8" t="n">
        <f aca="false">SUM(C6:E6)</f>
        <v>11</v>
      </c>
      <c r="G6" s="8" t="n">
        <f aca="false">RANK(F6,$F$5:$F$24)+COUNTIF($F$5:F6,F6)-1</f>
        <v>7</v>
      </c>
      <c r="H6" s="8" t="str">
        <f aca="false">IF(G6&lt;=5,"TOP 5","")</f>
        <v/>
      </c>
    </row>
    <row r="7" customFormat="false" ht="15" hidden="false" customHeight="false" outlineLevel="0" collapsed="false">
      <c r="A7" s="8" t="n">
        <v>3</v>
      </c>
      <c r="B7" s="8" t="s">
        <v>212</v>
      </c>
      <c r="C7" s="9" t="n">
        <v>5</v>
      </c>
      <c r="D7" s="9" t="n">
        <v>4</v>
      </c>
      <c r="E7" s="9" t="n">
        <v>3</v>
      </c>
      <c r="F7" s="8" t="n">
        <f aca="false">SUM(C7:E7)</f>
        <v>12</v>
      </c>
      <c r="G7" s="8" t="n">
        <f aca="false">RANK(F7,$F$5:$F$24)+COUNTIF($F$5:F7,F7)-1</f>
        <v>4</v>
      </c>
      <c r="H7" s="8" t="str">
        <f aca="false">IF(G7&lt;=5,"TOP 5","")</f>
        <v>TOP 5</v>
      </c>
    </row>
    <row r="8" customFormat="false" ht="15" hidden="false" customHeight="false" outlineLevel="0" collapsed="false">
      <c r="A8" s="8" t="n">
        <v>4</v>
      </c>
      <c r="B8" s="8" t="s">
        <v>213</v>
      </c>
      <c r="C8" s="9" t="n">
        <v>5</v>
      </c>
      <c r="D8" s="9" t="n">
        <v>4</v>
      </c>
      <c r="E8" s="9" t="n">
        <v>5</v>
      </c>
      <c r="F8" s="8" t="n">
        <f aca="false">SUM(C8:E8)</f>
        <v>14</v>
      </c>
      <c r="G8" s="8" t="n">
        <f aca="false">RANK(F8,$F$5:$F$24)+COUNTIF($F$5:F8,F8)-1</f>
        <v>2</v>
      </c>
      <c r="H8" s="8" t="str">
        <f aca="false">IF(G8&lt;=5,"TOP 5","")</f>
        <v>TOP 5</v>
      </c>
    </row>
    <row r="9" customFormat="false" ht="15" hidden="false" customHeight="false" outlineLevel="0" collapsed="false">
      <c r="A9" s="8" t="n">
        <v>5</v>
      </c>
      <c r="B9" s="8" t="s">
        <v>214</v>
      </c>
      <c r="C9" s="9" t="n">
        <v>3</v>
      </c>
      <c r="D9" s="9" t="n">
        <v>4</v>
      </c>
      <c r="E9" s="9" t="n">
        <v>3</v>
      </c>
      <c r="F9" s="8" t="n">
        <f aca="false">SUM(C9:E9)</f>
        <v>10</v>
      </c>
      <c r="G9" s="8" t="n">
        <f aca="false">RANK(F9,$F$5:$F$24)+COUNTIF($F$5:F9,F9)-1</f>
        <v>9</v>
      </c>
      <c r="H9" s="8" t="str">
        <f aca="false">IF(G9&lt;=5,"TOP 5","")</f>
        <v/>
      </c>
    </row>
    <row r="10" customFormat="false" ht="15" hidden="false" customHeight="false" outlineLevel="0" collapsed="false">
      <c r="A10" s="8" t="n">
        <v>6</v>
      </c>
      <c r="B10" s="8" t="s">
        <v>215</v>
      </c>
      <c r="C10" s="9" t="n">
        <v>4</v>
      </c>
      <c r="D10" s="9" t="n">
        <v>5</v>
      </c>
      <c r="E10" s="9" t="n">
        <v>4</v>
      </c>
      <c r="F10" s="8" t="n">
        <f aca="false">SUM(C10:E10)</f>
        <v>13</v>
      </c>
      <c r="G10" s="8" t="n">
        <f aca="false">RANK(F10,$F$5:$F$24)+COUNTIF($F$5:F10,F10)-1</f>
        <v>3</v>
      </c>
      <c r="H10" s="8" t="str">
        <f aca="false">IF(G10&lt;=5,"TOP 5","")</f>
        <v>TOP 5</v>
      </c>
    </row>
    <row r="11" customFormat="false" ht="15" hidden="false" customHeight="false" outlineLevel="0" collapsed="false">
      <c r="A11" s="8" t="n">
        <v>7</v>
      </c>
      <c r="B11" s="8" t="s">
        <v>216</v>
      </c>
      <c r="C11" s="9" t="n">
        <v>3</v>
      </c>
      <c r="D11" s="9" t="n">
        <v>4</v>
      </c>
      <c r="E11" s="9" t="n">
        <v>3</v>
      </c>
      <c r="F11" s="8" t="n">
        <f aca="false">SUM(C11:E11)</f>
        <v>10</v>
      </c>
      <c r="G11" s="8" t="n">
        <f aca="false">RANK(F11,$F$5:$F$24)+COUNTIF($F$5:F11,F11)-1</f>
        <v>10</v>
      </c>
      <c r="H11" s="8" t="str">
        <f aca="false">IF(G11&lt;=5,"TOP 5","")</f>
        <v/>
      </c>
    </row>
    <row r="12" customFormat="false" ht="15" hidden="false" customHeight="false" outlineLevel="0" collapsed="false">
      <c r="A12" s="8" t="n">
        <v>8</v>
      </c>
      <c r="B12" s="8" t="s">
        <v>217</v>
      </c>
      <c r="C12" s="9" t="n">
        <v>2</v>
      </c>
      <c r="D12" s="9" t="n">
        <v>4</v>
      </c>
      <c r="E12" s="9" t="n">
        <v>2</v>
      </c>
      <c r="F12" s="8" t="n">
        <f aca="false">SUM(C12:E12)</f>
        <v>8</v>
      </c>
      <c r="G12" s="8" t="n">
        <f aca="false">RANK(F12,$F$5:$F$24)+COUNTIF($F$5:F12,F12)-1</f>
        <v>17</v>
      </c>
      <c r="H12" s="8" t="str">
        <f aca="false">IF(G12&lt;=5,"TOP 5","")</f>
        <v/>
      </c>
    </row>
    <row r="13" customFormat="false" ht="15" hidden="false" customHeight="false" outlineLevel="0" collapsed="false">
      <c r="A13" s="8" t="n">
        <v>9</v>
      </c>
      <c r="B13" s="8" t="s">
        <v>218</v>
      </c>
      <c r="C13" s="9" t="n">
        <v>2</v>
      </c>
      <c r="D13" s="9" t="n">
        <v>3</v>
      </c>
      <c r="E13" s="9" t="n">
        <v>3</v>
      </c>
      <c r="F13" s="8" t="n">
        <f aca="false">SUM(C13:E13)</f>
        <v>8</v>
      </c>
      <c r="G13" s="8" t="n">
        <f aca="false">RANK(F13,$F$5:$F$24)+COUNTIF($F$5:F13,F13)-1</f>
        <v>18</v>
      </c>
      <c r="H13" s="8" t="str">
        <f aca="false">IF(G13&lt;=5,"TOP 5","")</f>
        <v/>
      </c>
    </row>
    <row r="14" customFormat="false" ht="15" hidden="false" customHeight="false" outlineLevel="0" collapsed="false">
      <c r="A14" s="8" t="n">
        <v>10</v>
      </c>
      <c r="B14" s="8" t="s">
        <v>219</v>
      </c>
      <c r="C14" s="9" t="n">
        <v>4</v>
      </c>
      <c r="D14" s="9" t="n">
        <v>4</v>
      </c>
      <c r="E14" s="9" t="n">
        <v>3</v>
      </c>
      <c r="F14" s="8" t="n">
        <f aca="false">SUM(C14:E14)</f>
        <v>11</v>
      </c>
      <c r="G14" s="8" t="n">
        <f aca="false">RANK(F14,$F$5:$F$24)+COUNTIF($F$5:F14,F14)-1</f>
        <v>8</v>
      </c>
      <c r="H14" s="8" t="str">
        <f aca="false">IF(G14&lt;=5,"TOP 5","")</f>
        <v/>
      </c>
    </row>
    <row r="15" customFormat="false" ht="15" hidden="false" customHeight="false" outlineLevel="0" collapsed="false">
      <c r="A15" s="8" t="n">
        <v>11</v>
      </c>
      <c r="B15" s="8" t="s">
        <v>220</v>
      </c>
      <c r="C15" s="9" t="n">
        <v>3</v>
      </c>
      <c r="D15" s="9" t="n">
        <v>3</v>
      </c>
      <c r="E15" s="9" t="n">
        <v>4</v>
      </c>
      <c r="F15" s="8" t="n">
        <f aca="false">SUM(C15:E15)</f>
        <v>10</v>
      </c>
      <c r="G15" s="8" t="n">
        <f aca="false">RANK(F15,$F$5:$F$24)+COUNTIF($F$5:F15,F15)-1</f>
        <v>11</v>
      </c>
      <c r="H15" s="8" t="str">
        <f aca="false">IF(G15&lt;=5,"TOP 5","")</f>
        <v/>
      </c>
    </row>
    <row r="16" customFormat="false" ht="15" hidden="false" customHeight="false" outlineLevel="0" collapsed="false">
      <c r="A16" s="8" t="n">
        <v>12</v>
      </c>
      <c r="B16" s="8" t="s">
        <v>221</v>
      </c>
      <c r="C16" s="9" t="n">
        <v>4</v>
      </c>
      <c r="D16" s="9" t="n">
        <v>4</v>
      </c>
      <c r="E16" s="9" t="n">
        <v>4</v>
      </c>
      <c r="F16" s="8" t="n">
        <f aca="false">SUM(C16:E16)</f>
        <v>12</v>
      </c>
      <c r="G16" s="8" t="n">
        <f aca="false">RANK(F16,$F$5:$F$24)+COUNTIF($F$5:F16,F16)-1</f>
        <v>5</v>
      </c>
      <c r="H16" s="8" t="str">
        <f aca="false">IF(G16&lt;=5,"TOP 5","")</f>
        <v>TOP 5</v>
      </c>
    </row>
    <row r="17" customFormat="false" ht="15" hidden="false" customHeight="false" outlineLevel="0" collapsed="false">
      <c r="A17" s="8" t="n">
        <v>13</v>
      </c>
      <c r="B17" s="8" t="s">
        <v>222</v>
      </c>
      <c r="C17" s="9" t="n">
        <v>5</v>
      </c>
      <c r="D17" s="9" t="n">
        <v>4</v>
      </c>
      <c r="E17" s="9" t="n">
        <v>1</v>
      </c>
      <c r="F17" s="8" t="n">
        <f aca="false">SUM(C17:E17)</f>
        <v>10</v>
      </c>
      <c r="G17" s="8" t="n">
        <f aca="false">RANK(F17,$F$5:$F$24)+COUNTIF($F$5:F17,F17)-1</f>
        <v>12</v>
      </c>
      <c r="H17" s="8" t="str">
        <f aca="false">IF(G17&lt;=5,"TOP 5","")</f>
        <v/>
      </c>
    </row>
    <row r="18" customFormat="false" ht="15" hidden="false" customHeight="false" outlineLevel="0" collapsed="false">
      <c r="A18" s="8" t="n">
        <v>14</v>
      </c>
      <c r="B18" s="8" t="s">
        <v>223</v>
      </c>
      <c r="C18" s="9" t="n">
        <v>3</v>
      </c>
      <c r="D18" s="9" t="n">
        <v>4</v>
      </c>
      <c r="E18" s="9" t="n">
        <v>2</v>
      </c>
      <c r="F18" s="8" t="n">
        <f aca="false">SUM(C18:E18)</f>
        <v>9</v>
      </c>
      <c r="G18" s="8" t="n">
        <f aca="false">RANK(F18,$F$5:$F$24)+COUNTIF($F$5:F18,F18)-1</f>
        <v>14</v>
      </c>
      <c r="H18" s="8" t="str">
        <f aca="false">IF(G18&lt;=5,"TOP 5","")</f>
        <v/>
      </c>
    </row>
    <row r="19" customFormat="false" ht="15" hidden="false" customHeight="false" outlineLevel="0" collapsed="false">
      <c r="A19" s="8" t="n">
        <v>15</v>
      </c>
      <c r="B19" s="8" t="s">
        <v>224</v>
      </c>
      <c r="C19" s="9" t="n">
        <v>3</v>
      </c>
      <c r="D19" s="9" t="n">
        <v>3</v>
      </c>
      <c r="E19" s="9" t="n">
        <v>4</v>
      </c>
      <c r="F19" s="8" t="n">
        <f aca="false">SUM(C19:E19)</f>
        <v>10</v>
      </c>
      <c r="G19" s="8" t="n">
        <f aca="false">RANK(F19,$F$5:$F$24)+COUNTIF($F$5:F19,F19)-1</f>
        <v>13</v>
      </c>
      <c r="H19" s="8" t="str">
        <f aca="false">IF(G19&lt;=5,"TOP 5","")</f>
        <v/>
      </c>
    </row>
    <row r="20" customFormat="false" ht="15" hidden="false" customHeight="false" outlineLevel="0" collapsed="false">
      <c r="A20" s="8" t="n">
        <v>16</v>
      </c>
      <c r="B20" s="8" t="s">
        <v>225</v>
      </c>
      <c r="C20" s="9" t="n">
        <v>2</v>
      </c>
      <c r="D20" s="9" t="n">
        <v>4</v>
      </c>
      <c r="E20" s="9" t="n">
        <v>3</v>
      </c>
      <c r="F20" s="8" t="n">
        <f aca="false">SUM(C20:E20)</f>
        <v>9</v>
      </c>
      <c r="G20" s="8" t="n">
        <f aca="false">RANK(F20,$F$5:$F$24)+COUNTIF($F$5:F20,F20)-1</f>
        <v>15</v>
      </c>
      <c r="H20" s="8" t="str">
        <f aca="false">IF(G20&lt;=5,"TOP 5","")</f>
        <v/>
      </c>
    </row>
    <row r="21" customFormat="false" ht="15" hidden="false" customHeight="false" outlineLevel="0" collapsed="false">
      <c r="A21" s="8" t="n">
        <v>17</v>
      </c>
      <c r="B21" s="8" t="s">
        <v>226</v>
      </c>
      <c r="C21" s="9" t="n">
        <v>2</v>
      </c>
      <c r="D21" s="9" t="n">
        <v>3</v>
      </c>
      <c r="E21" s="9" t="n">
        <v>3</v>
      </c>
      <c r="F21" s="8" t="n">
        <f aca="false">SUM(C21:E21)</f>
        <v>8</v>
      </c>
      <c r="G21" s="8" t="n">
        <f aca="false">RANK(F21,$F$5:$F$24)+COUNTIF($F$5:F21,F21)-1</f>
        <v>19</v>
      </c>
      <c r="H21" s="8" t="str">
        <f aca="false">IF(G21&lt;=5,"TOP 5","")</f>
        <v/>
      </c>
    </row>
    <row r="22" customFormat="false" ht="15" hidden="false" customHeight="false" outlineLevel="0" collapsed="false">
      <c r="A22" s="8" t="n">
        <v>18</v>
      </c>
      <c r="B22" s="8" t="s">
        <v>227</v>
      </c>
      <c r="C22" s="9" t="n">
        <v>2</v>
      </c>
      <c r="D22" s="9" t="n">
        <v>3</v>
      </c>
      <c r="E22" s="9" t="n">
        <v>4</v>
      </c>
      <c r="F22" s="8" t="n">
        <f aca="false">SUM(C22:E22)</f>
        <v>9</v>
      </c>
      <c r="G22" s="8" t="n">
        <f aca="false">RANK(F22,$F$5:$F$24)+COUNTIF($F$5:F22,F22)-1</f>
        <v>16</v>
      </c>
      <c r="H22" s="8" t="str">
        <f aca="false">IF(G22&lt;=5,"TOP 5","")</f>
        <v/>
      </c>
    </row>
    <row r="23" customFormat="false" ht="15" hidden="false" customHeight="false" outlineLevel="0" collapsed="false">
      <c r="A23" s="8" t="n">
        <v>19</v>
      </c>
      <c r="B23" s="8" t="s">
        <v>228</v>
      </c>
      <c r="C23" s="9" t="n">
        <v>1</v>
      </c>
      <c r="D23" s="9" t="n">
        <v>3</v>
      </c>
      <c r="E23" s="9" t="n">
        <v>4</v>
      </c>
      <c r="F23" s="8" t="n">
        <f aca="false">SUM(C23:E23)</f>
        <v>8</v>
      </c>
      <c r="G23" s="8" t="n">
        <f aca="false">RANK(F23,$F$5:$F$24)+COUNTIF($F$5:F23,F23)-1</f>
        <v>20</v>
      </c>
      <c r="H23" s="8" t="str">
        <f aca="false">IF(G23&lt;=5,"TOP 5","")</f>
        <v/>
      </c>
    </row>
    <row r="24" customFormat="false" ht="15" hidden="false" customHeight="false" outlineLevel="0" collapsed="false">
      <c r="A24" s="8" t="n">
        <v>20</v>
      </c>
      <c r="B24" s="8" t="s">
        <v>229</v>
      </c>
      <c r="C24" s="9" t="n">
        <v>4</v>
      </c>
      <c r="D24" s="9" t="n">
        <v>4</v>
      </c>
      <c r="E24" s="9" t="n">
        <v>4</v>
      </c>
      <c r="F24" s="8" t="n">
        <f aca="false">SUM(C24:E24)</f>
        <v>12</v>
      </c>
      <c r="G24" s="8" t="n">
        <f aca="false">RANK(F24,$F$5:$F$24)+COUNTIF($F$5:F24,F24)-1</f>
        <v>6</v>
      </c>
      <c r="H24" s="8" t="str">
        <f aca="false">IF(G24&lt;=5,"TOP 5","")</f>
        <v/>
      </c>
    </row>
  </sheetData>
  <conditionalFormatting sqref="H5:H24">
    <cfRule type="cellIs" priority="2" operator="equal" aboveAverage="0" equalAverage="0" bottom="0" percent="0" rank="0" text="" dxfId="1">
      <formula>"TOP 5"</formula>
    </cfRule>
  </conditionalFormatting>
  <dataValidations count="1">
    <dataValidation allowBlank="true" errorStyle="stop" operator="between" showDropDown="false" showErrorMessage="false" showInputMessage="false" sqref="C5:E24" type="list">
      <formula1>"1,2,3,4,5"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9"/>
    <col collapsed="false" customWidth="true" hidden="false" outlineLevel="0" max="6" min="6" style="0" width="12"/>
    <col collapsed="false" customWidth="true" hidden="false" outlineLevel="0" max="7" min="7" style="0" width="18"/>
    <col collapsed="false" customWidth="true" hidden="false" outlineLevel="0" max="8" min="8" style="0" width="40"/>
  </cols>
  <sheetData>
    <row r="1" customFormat="false" ht="17.35" hidden="false" customHeight="false" outlineLevel="0" collapsed="false">
      <c r="A1" s="5" t="s">
        <v>17</v>
      </c>
    </row>
    <row r="2" customFormat="false" ht="15" hidden="false" customHeight="false" outlineLevel="0" collapsed="false">
      <c r="A2" s="6" t="s">
        <v>230</v>
      </c>
    </row>
    <row r="4" customFormat="false" ht="23.85" hidden="false" customHeight="false" outlineLevel="0" collapsed="false">
      <c r="A4" s="7" t="s">
        <v>231</v>
      </c>
      <c r="B4" s="7" t="s">
        <v>232</v>
      </c>
      <c r="C4" s="7" t="s">
        <v>233</v>
      </c>
      <c r="D4" s="7" t="s">
        <v>234</v>
      </c>
      <c r="E4" s="7" t="s">
        <v>235</v>
      </c>
      <c r="F4" s="7" t="s">
        <v>236</v>
      </c>
      <c r="G4" s="7" t="s">
        <v>237</v>
      </c>
      <c r="H4" s="7" t="s">
        <v>238</v>
      </c>
    </row>
    <row r="5" customFormat="false" ht="15" hidden="false" customHeight="false" outlineLevel="0" collapsed="false">
      <c r="A5" s="8" t="s">
        <v>239</v>
      </c>
      <c r="B5" s="9"/>
      <c r="C5" s="9"/>
      <c r="D5" s="9"/>
      <c r="E5" s="15" t="str">
        <f aca="false">IF(AND(ISNUMBER(B5),B5&gt;0),C5/B5,"")</f>
        <v/>
      </c>
      <c r="F5" s="15" t="str">
        <f aca="false">IF(AND(ISNUMBER(C5),C5+D5&gt;0),C5/(C5+D5),"")</f>
        <v/>
      </c>
      <c r="G5" s="8" t="str">
        <f aca="false">IF(E5="","",IF(AND(E5&gt;=0.5,F5&gt;=0.5),"Dùng ngay",IF(F5&gt;=0.5,"Đầu tư thêm",IF(E5&gt;=0.5,"Dễ nhầm, cẩn trọng","Bỏ/thay"))))</f>
        <v/>
      </c>
      <c r="H5" s="8" t="str">
        <f aca="false">IF(G5="Dùng ngay","Lặp lại ở mọi điểm chạm",IF(G5="Đầu tư thêm","Lặp lại nhiều hơn để tăng fame",IF(G5="Dễ nhầm, cẩn trọng","Ghép với tài sản riêng của DS",IF(G5="","","Không đầu tư"))))</f>
        <v/>
      </c>
    </row>
    <row r="6" customFormat="false" ht="15" hidden="false" customHeight="false" outlineLevel="0" collapsed="false">
      <c r="A6" s="8" t="s">
        <v>240</v>
      </c>
      <c r="B6" s="9"/>
      <c r="C6" s="9"/>
      <c r="D6" s="9"/>
      <c r="E6" s="15" t="str">
        <f aca="false">IF(AND(ISNUMBER(B6),B6&gt;0),C6/B6,"")</f>
        <v/>
      </c>
      <c r="F6" s="15" t="str">
        <f aca="false">IF(AND(ISNUMBER(C6),C6+D6&gt;0),C6/(C6+D6),"")</f>
        <v/>
      </c>
      <c r="G6" s="8" t="str">
        <f aca="false">IF(E6="","",IF(AND(E6&gt;=0.5,F6&gt;=0.5),"Dùng ngay",IF(F6&gt;=0.5,"Đầu tư thêm",IF(E6&gt;=0.5,"Dễ nhầm, cẩn trọng","Bỏ/thay"))))</f>
        <v/>
      </c>
      <c r="H6" s="8" t="str">
        <f aca="false">IF(G6="Dùng ngay","Lặp lại ở mọi điểm chạm",IF(G6="Đầu tư thêm","Lặp lại nhiều hơn để tăng fame",IF(G6="Dễ nhầm, cẩn trọng","Ghép với tài sản riêng của DS",IF(G6="","","Không đầu tư"))))</f>
        <v/>
      </c>
    </row>
    <row r="7" customFormat="false" ht="23.85" hidden="false" customHeight="false" outlineLevel="0" collapsed="false">
      <c r="A7" s="8" t="s">
        <v>241</v>
      </c>
      <c r="B7" s="9"/>
      <c r="C7" s="9"/>
      <c r="D7" s="9"/>
      <c r="E7" s="15" t="str">
        <f aca="false">IF(AND(ISNUMBER(B7),B7&gt;0),C7/B7,"")</f>
        <v/>
      </c>
      <c r="F7" s="15" t="str">
        <f aca="false">IF(AND(ISNUMBER(C7),C7+D7&gt;0),C7/(C7+D7),"")</f>
        <v/>
      </c>
      <c r="G7" s="8" t="str">
        <f aca="false">IF(E7="","",IF(AND(E7&gt;=0.5,F7&gt;=0.5),"Dùng ngay",IF(F7&gt;=0.5,"Đầu tư thêm",IF(E7&gt;=0.5,"Dễ nhầm, cẩn trọng","Bỏ/thay"))))</f>
        <v/>
      </c>
      <c r="H7" s="8" t="str">
        <f aca="false">IF(G7="Dùng ngay","Lặp lại ở mọi điểm chạm",IF(G7="Đầu tư thêm","Lặp lại nhiều hơn để tăng fame",IF(G7="Dễ nhầm, cẩn trọng","Ghép với tài sản riêng của DS",IF(G7="","","Không đầu tư"))))</f>
        <v/>
      </c>
    </row>
    <row r="8" customFormat="false" ht="15" hidden="false" customHeight="false" outlineLevel="0" collapsed="false">
      <c r="A8" s="8" t="s">
        <v>242</v>
      </c>
      <c r="B8" s="9"/>
      <c r="C8" s="9"/>
      <c r="D8" s="9"/>
      <c r="E8" s="15" t="str">
        <f aca="false">IF(AND(ISNUMBER(B8),B8&gt;0),C8/B8,"")</f>
        <v/>
      </c>
      <c r="F8" s="15" t="str">
        <f aca="false">IF(AND(ISNUMBER(C8),C8+D8&gt;0),C8/(C8+D8),"")</f>
        <v/>
      </c>
      <c r="G8" s="8" t="str">
        <f aca="false">IF(E8="","",IF(AND(E8&gt;=0.5,F8&gt;=0.5),"Dùng ngay",IF(F8&gt;=0.5,"Đầu tư thêm",IF(E8&gt;=0.5,"Dễ nhầm, cẩn trọng","Bỏ/thay"))))</f>
        <v/>
      </c>
      <c r="H8" s="8" t="str">
        <f aca="false">IF(G8="Dùng ngay","Lặp lại ở mọi điểm chạm",IF(G8="Đầu tư thêm","Lặp lại nhiều hơn để tăng fame",IF(G8="Dễ nhầm, cẩn trọng","Ghép với tài sản riêng của DS",IF(G8="","","Không đầu tư"))))</f>
        <v/>
      </c>
    </row>
    <row r="9" customFormat="false" ht="15" hidden="false" customHeight="false" outlineLevel="0" collapsed="false">
      <c r="A9" s="8" t="s">
        <v>243</v>
      </c>
      <c r="B9" s="9"/>
      <c r="C9" s="9"/>
      <c r="D9" s="9"/>
      <c r="E9" s="15" t="str">
        <f aca="false">IF(AND(ISNUMBER(B9),B9&gt;0),C9/B9,"")</f>
        <v/>
      </c>
      <c r="F9" s="15" t="str">
        <f aca="false">IF(AND(ISNUMBER(C9),C9+D9&gt;0),C9/(C9+D9),"")</f>
        <v/>
      </c>
      <c r="G9" s="8" t="str">
        <f aca="false">IF(E9="","",IF(AND(E9&gt;=0.5,F9&gt;=0.5),"Dùng ngay",IF(F9&gt;=0.5,"Đầu tư thêm",IF(E9&gt;=0.5,"Dễ nhầm, cẩn trọng","Bỏ/thay"))))</f>
        <v/>
      </c>
      <c r="H9" s="8" t="str">
        <f aca="false">IF(G9="Dùng ngay","Lặp lại ở mọi điểm chạm",IF(G9="Đầu tư thêm","Lặp lại nhiều hơn để tăng fame",IF(G9="Dễ nhầm, cẩn trọng","Ghép với tài sản riêng của DS",IF(G9="","","Không đầu tư"))))</f>
        <v/>
      </c>
    </row>
    <row r="10" customFormat="false" ht="15" hidden="false" customHeight="false" outlineLevel="0" collapsed="false">
      <c r="A10" s="8" t="s">
        <v>244</v>
      </c>
      <c r="B10" s="9"/>
      <c r="C10" s="9"/>
      <c r="D10" s="9"/>
      <c r="E10" s="15" t="str">
        <f aca="false">IF(AND(ISNUMBER(B10),B10&gt;0),C10/B10,"")</f>
        <v/>
      </c>
      <c r="F10" s="15" t="str">
        <f aca="false">IF(AND(ISNUMBER(C10),C10+D10&gt;0),C10/(C10+D10),"")</f>
        <v/>
      </c>
      <c r="G10" s="8" t="str">
        <f aca="false">IF(E10="","",IF(AND(E10&gt;=0.5,F10&gt;=0.5),"Dùng ngay",IF(F10&gt;=0.5,"Đầu tư thêm",IF(E10&gt;=0.5,"Dễ nhầm, cẩn trọng","Bỏ/thay"))))</f>
        <v/>
      </c>
      <c r="H10" s="8" t="str">
        <f aca="false">IF(G10="Dùng ngay","Lặp lại ở mọi điểm chạm",IF(G10="Đầu tư thêm","Lặp lại nhiều hơn để tăng fame",IF(G10="Dễ nhầm, cẩn trọng","Ghép với tài sản riêng của DS",IF(G10="","","Không đầu tư"))))</f>
        <v/>
      </c>
    </row>
    <row r="11" customFormat="false" ht="15" hidden="false" customHeight="false" outlineLevel="0" collapsed="false">
      <c r="A11" s="8" t="s">
        <v>245</v>
      </c>
      <c r="B11" s="9"/>
      <c r="C11" s="9"/>
      <c r="D11" s="9"/>
      <c r="E11" s="15" t="str">
        <f aca="false">IF(AND(ISNUMBER(B11),B11&gt;0),C11/B11,"")</f>
        <v/>
      </c>
      <c r="F11" s="15" t="str">
        <f aca="false">IF(AND(ISNUMBER(C11),C11+D11&gt;0),C11/(C11+D11),"")</f>
        <v/>
      </c>
      <c r="G11" s="8" t="str">
        <f aca="false">IF(E11="","",IF(AND(E11&gt;=0.5,F11&gt;=0.5),"Dùng ngay",IF(F11&gt;=0.5,"Đầu tư thêm",IF(E11&gt;=0.5,"Dễ nhầm, cẩn trọng","Bỏ/thay"))))</f>
        <v/>
      </c>
      <c r="H11" s="8" t="str">
        <f aca="false">IF(G11="Dùng ngay","Lặp lại ở mọi điểm chạm",IF(G11="Đầu tư thêm","Lặp lại nhiều hơn để tăng fame",IF(G11="Dễ nhầm, cẩn trọng","Ghép với tài sản riêng của DS",IF(G11="","","Không đầu tư"))))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52"/>
    <col collapsed="false" customWidth="true" hidden="false" outlineLevel="0" max="4" min="4" style="0" width="12"/>
    <col collapsed="false" customWidth="true" hidden="false" outlineLevel="0" max="5" min="5" style="0" width="22"/>
    <col collapsed="false" customWidth="true" hidden="false" outlineLevel="0" max="9" min="6" style="0" width="10"/>
    <col collapsed="false" customWidth="true" hidden="false" outlineLevel="0" max="10" min="10" style="0" width="9"/>
  </cols>
  <sheetData>
    <row r="1" customFormat="false" ht="17.35" hidden="false" customHeight="false" outlineLevel="0" collapsed="false">
      <c r="A1" s="5" t="s">
        <v>19</v>
      </c>
    </row>
    <row r="2" customFormat="false" ht="15" hidden="false" customHeight="false" outlineLevel="0" collapsed="false">
      <c r="A2" s="6" t="s">
        <v>246</v>
      </c>
    </row>
    <row r="4" customFormat="false" ht="23.85" hidden="false" customHeight="false" outlineLevel="0" collapsed="false">
      <c r="A4" s="7" t="s">
        <v>57</v>
      </c>
      <c r="B4" s="7" t="s">
        <v>247</v>
      </c>
      <c r="C4" s="7" t="s">
        <v>248</v>
      </c>
      <c r="D4" s="7" t="s">
        <v>249</v>
      </c>
      <c r="E4" s="7" t="s">
        <v>154</v>
      </c>
      <c r="F4" s="7" t="s">
        <v>36</v>
      </c>
      <c r="G4" s="7" t="s">
        <v>35</v>
      </c>
      <c r="H4" s="7" t="s">
        <v>37</v>
      </c>
      <c r="I4" s="7" t="s">
        <v>55</v>
      </c>
      <c r="J4" s="7" t="s">
        <v>250</v>
      </c>
    </row>
    <row r="5" customFormat="false" ht="15" hidden="false" customHeight="false" outlineLevel="0" collapsed="false">
      <c r="A5" s="8" t="n">
        <v>1</v>
      </c>
      <c r="B5" s="8" t="s">
        <v>251</v>
      </c>
      <c r="C5" s="8" t="s">
        <v>252</v>
      </c>
      <c r="D5" s="9"/>
      <c r="E5" s="9"/>
      <c r="F5" s="9"/>
      <c r="G5" s="9"/>
      <c r="H5" s="9"/>
      <c r="I5" s="10" t="str">
        <f aca="false">IF(AND(ISNUMBER(G5),G5&gt;0),H5/G5,"")</f>
        <v/>
      </c>
      <c r="J5" s="9"/>
    </row>
    <row r="6" customFormat="false" ht="15" hidden="false" customHeight="false" outlineLevel="0" collapsed="false">
      <c r="A6" s="8" t="n">
        <v>2</v>
      </c>
      <c r="B6" s="8" t="s">
        <v>251</v>
      </c>
      <c r="C6" s="8" t="s">
        <v>253</v>
      </c>
      <c r="D6" s="9"/>
      <c r="E6" s="9"/>
      <c r="F6" s="9"/>
      <c r="G6" s="9"/>
      <c r="H6" s="9"/>
      <c r="I6" s="10" t="str">
        <f aca="false">IF(AND(ISNUMBER(G6),G6&gt;0),H6/G6,"")</f>
        <v/>
      </c>
      <c r="J6" s="9"/>
    </row>
    <row r="7" customFormat="false" ht="23.85" hidden="false" customHeight="false" outlineLevel="0" collapsed="false">
      <c r="A7" s="8" t="n">
        <v>3</v>
      </c>
      <c r="B7" s="8" t="s">
        <v>251</v>
      </c>
      <c r="C7" s="8" t="s">
        <v>254</v>
      </c>
      <c r="D7" s="9"/>
      <c r="E7" s="9"/>
      <c r="F7" s="9"/>
      <c r="G7" s="9"/>
      <c r="H7" s="9"/>
      <c r="I7" s="10" t="str">
        <f aca="false">IF(AND(ISNUMBER(G7),G7&gt;0),H7/G7,"")</f>
        <v/>
      </c>
      <c r="J7" s="9"/>
    </row>
    <row r="8" customFormat="false" ht="15" hidden="false" customHeight="false" outlineLevel="0" collapsed="false">
      <c r="A8" s="8" t="n">
        <v>4</v>
      </c>
      <c r="B8" s="8" t="s">
        <v>251</v>
      </c>
      <c r="C8" s="8" t="s">
        <v>255</v>
      </c>
      <c r="D8" s="9"/>
      <c r="E8" s="9"/>
      <c r="F8" s="9"/>
      <c r="G8" s="9"/>
      <c r="H8" s="9"/>
      <c r="I8" s="10" t="str">
        <f aca="false">IF(AND(ISNUMBER(G8),G8&gt;0),H8/G8,"")</f>
        <v/>
      </c>
      <c r="J8" s="9"/>
    </row>
    <row r="9" customFormat="false" ht="15" hidden="false" customHeight="false" outlineLevel="0" collapsed="false">
      <c r="A9" s="8" t="n">
        <v>5</v>
      </c>
      <c r="B9" s="8" t="s">
        <v>251</v>
      </c>
      <c r="C9" s="8" t="s">
        <v>256</v>
      </c>
      <c r="D9" s="9"/>
      <c r="E9" s="9"/>
      <c r="F9" s="9"/>
      <c r="G9" s="9"/>
      <c r="H9" s="9"/>
      <c r="I9" s="10" t="str">
        <f aca="false">IF(AND(ISNUMBER(G9),G9&gt;0),H9/G9,"")</f>
        <v/>
      </c>
      <c r="J9" s="9"/>
    </row>
    <row r="10" customFormat="false" ht="15" hidden="false" customHeight="false" outlineLevel="0" collapsed="false">
      <c r="A10" s="8" t="n">
        <v>6</v>
      </c>
      <c r="B10" s="8" t="s">
        <v>251</v>
      </c>
      <c r="C10" s="8" t="s">
        <v>257</v>
      </c>
      <c r="D10" s="9"/>
      <c r="E10" s="9"/>
      <c r="F10" s="9"/>
      <c r="G10" s="9"/>
      <c r="H10" s="9"/>
      <c r="I10" s="10" t="str">
        <f aca="false">IF(AND(ISNUMBER(G10),G10&gt;0),H10/G10,"")</f>
        <v/>
      </c>
      <c r="J10" s="9"/>
    </row>
    <row r="11" customFormat="false" ht="15" hidden="false" customHeight="false" outlineLevel="0" collapsed="false">
      <c r="A11" s="8" t="n">
        <v>7</v>
      </c>
      <c r="B11" s="8" t="s">
        <v>258</v>
      </c>
      <c r="C11" s="8" t="s">
        <v>259</v>
      </c>
      <c r="D11" s="9"/>
      <c r="E11" s="9"/>
      <c r="F11" s="9"/>
      <c r="G11" s="9"/>
      <c r="H11" s="9"/>
      <c r="I11" s="10" t="str">
        <f aca="false">IF(AND(ISNUMBER(G11),G11&gt;0),H11/G11,"")</f>
        <v/>
      </c>
      <c r="J11" s="9"/>
    </row>
    <row r="12" customFormat="false" ht="15" hidden="false" customHeight="false" outlineLevel="0" collapsed="false">
      <c r="A12" s="8" t="n">
        <v>8</v>
      </c>
      <c r="B12" s="8" t="s">
        <v>258</v>
      </c>
      <c r="C12" s="8" t="s">
        <v>260</v>
      </c>
      <c r="D12" s="9"/>
      <c r="E12" s="9"/>
      <c r="F12" s="9"/>
      <c r="G12" s="9"/>
      <c r="H12" s="9"/>
      <c r="I12" s="10" t="str">
        <f aca="false">IF(AND(ISNUMBER(G12),G12&gt;0),H12/G12,"")</f>
        <v/>
      </c>
      <c r="J12" s="9"/>
    </row>
    <row r="13" customFormat="false" ht="15" hidden="false" customHeight="false" outlineLevel="0" collapsed="false">
      <c r="A13" s="8" t="n">
        <v>9</v>
      </c>
      <c r="B13" s="8" t="s">
        <v>258</v>
      </c>
      <c r="C13" s="8" t="s">
        <v>261</v>
      </c>
      <c r="D13" s="9"/>
      <c r="E13" s="9"/>
      <c r="F13" s="9"/>
      <c r="G13" s="9"/>
      <c r="H13" s="9"/>
      <c r="I13" s="10" t="str">
        <f aca="false">IF(AND(ISNUMBER(G13),G13&gt;0),H13/G13,"")</f>
        <v/>
      </c>
      <c r="J13" s="9"/>
    </row>
    <row r="14" customFormat="false" ht="15" hidden="false" customHeight="false" outlineLevel="0" collapsed="false">
      <c r="A14" s="8" t="n">
        <v>10</v>
      </c>
      <c r="B14" s="8" t="s">
        <v>258</v>
      </c>
      <c r="C14" s="8" t="s">
        <v>262</v>
      </c>
      <c r="D14" s="9"/>
      <c r="E14" s="9"/>
      <c r="F14" s="9"/>
      <c r="G14" s="9"/>
      <c r="H14" s="9"/>
      <c r="I14" s="10" t="str">
        <f aca="false">IF(AND(ISNUMBER(G14),G14&gt;0),H14/G14,"")</f>
        <v/>
      </c>
      <c r="J14" s="9"/>
    </row>
    <row r="15" customFormat="false" ht="15" hidden="false" customHeight="false" outlineLevel="0" collapsed="false">
      <c r="A15" s="8" t="n">
        <v>11</v>
      </c>
      <c r="B15" s="8" t="s">
        <v>258</v>
      </c>
      <c r="C15" s="8" t="s">
        <v>263</v>
      </c>
      <c r="D15" s="9"/>
      <c r="E15" s="9"/>
      <c r="F15" s="9"/>
      <c r="G15" s="9"/>
      <c r="H15" s="9"/>
      <c r="I15" s="10" t="str">
        <f aca="false">IF(AND(ISNUMBER(G15),G15&gt;0),H15/G15,"")</f>
        <v/>
      </c>
      <c r="J15" s="9"/>
    </row>
    <row r="16" customFormat="false" ht="15" hidden="false" customHeight="false" outlineLevel="0" collapsed="false">
      <c r="A16" s="8" t="n">
        <v>12</v>
      </c>
      <c r="B16" s="8" t="s">
        <v>258</v>
      </c>
      <c r="C16" s="8" t="s">
        <v>264</v>
      </c>
      <c r="D16" s="9"/>
      <c r="E16" s="9"/>
      <c r="F16" s="9"/>
      <c r="G16" s="9"/>
      <c r="H16" s="9"/>
      <c r="I16" s="10" t="str">
        <f aca="false">IF(AND(ISNUMBER(G16),G16&gt;0),H16/G16,"")</f>
        <v/>
      </c>
      <c r="J16" s="9"/>
    </row>
    <row r="17" customFormat="false" ht="15" hidden="false" customHeight="false" outlineLevel="0" collapsed="false">
      <c r="A17" s="8" t="n">
        <v>13</v>
      </c>
      <c r="B17" s="8" t="s">
        <v>258</v>
      </c>
      <c r="C17" s="8" t="s">
        <v>265</v>
      </c>
      <c r="D17" s="9"/>
      <c r="E17" s="9"/>
      <c r="F17" s="9"/>
      <c r="G17" s="9"/>
      <c r="H17" s="9"/>
      <c r="I17" s="10" t="str">
        <f aca="false">IF(AND(ISNUMBER(G17),G17&gt;0),H17/G17,"")</f>
        <v/>
      </c>
      <c r="J17" s="9"/>
    </row>
    <row r="18" customFormat="false" ht="15" hidden="false" customHeight="false" outlineLevel="0" collapsed="false">
      <c r="A18" s="8" t="n">
        <v>14</v>
      </c>
      <c r="B18" s="8" t="s">
        <v>266</v>
      </c>
      <c r="C18" s="8" t="s">
        <v>267</v>
      </c>
      <c r="D18" s="9"/>
      <c r="E18" s="9"/>
      <c r="F18" s="9"/>
      <c r="G18" s="9"/>
      <c r="H18" s="9"/>
      <c r="I18" s="10" t="str">
        <f aca="false">IF(AND(ISNUMBER(G18),G18&gt;0),H18/G18,"")</f>
        <v/>
      </c>
      <c r="J18" s="9"/>
    </row>
    <row r="19" customFormat="false" ht="15" hidden="false" customHeight="false" outlineLevel="0" collapsed="false">
      <c r="A19" s="8" t="n">
        <v>15</v>
      </c>
      <c r="B19" s="8" t="s">
        <v>266</v>
      </c>
      <c r="C19" s="8" t="s">
        <v>268</v>
      </c>
      <c r="D19" s="9"/>
      <c r="E19" s="9"/>
      <c r="F19" s="9"/>
      <c r="G19" s="9"/>
      <c r="H19" s="9"/>
      <c r="I19" s="10" t="str">
        <f aca="false">IF(AND(ISNUMBER(G19),G19&gt;0),H19/G19,"")</f>
        <v/>
      </c>
      <c r="J19" s="9"/>
    </row>
    <row r="20" customFormat="false" ht="15" hidden="false" customHeight="false" outlineLevel="0" collapsed="false">
      <c r="A20" s="8" t="n">
        <v>16</v>
      </c>
      <c r="B20" s="8" t="s">
        <v>266</v>
      </c>
      <c r="C20" s="8" t="s">
        <v>269</v>
      </c>
      <c r="D20" s="9"/>
      <c r="E20" s="9"/>
      <c r="F20" s="9"/>
      <c r="G20" s="9"/>
      <c r="H20" s="9"/>
      <c r="I20" s="10" t="str">
        <f aca="false">IF(AND(ISNUMBER(G20),G20&gt;0),H20/G20,"")</f>
        <v/>
      </c>
      <c r="J20" s="9"/>
    </row>
    <row r="21" customFormat="false" ht="15" hidden="false" customHeight="false" outlineLevel="0" collapsed="false">
      <c r="A21" s="8" t="n">
        <v>17</v>
      </c>
      <c r="B21" s="8" t="s">
        <v>266</v>
      </c>
      <c r="C21" s="8" t="s">
        <v>270</v>
      </c>
      <c r="D21" s="9"/>
      <c r="E21" s="9"/>
      <c r="F21" s="9"/>
      <c r="G21" s="9"/>
      <c r="H21" s="9"/>
      <c r="I21" s="10" t="str">
        <f aca="false">IF(AND(ISNUMBER(G21),G21&gt;0),H21/G21,"")</f>
        <v/>
      </c>
      <c r="J21" s="9"/>
    </row>
    <row r="22" customFormat="false" ht="15" hidden="false" customHeight="false" outlineLevel="0" collapsed="false">
      <c r="A22" s="8" t="n">
        <v>18</v>
      </c>
      <c r="B22" s="8" t="s">
        <v>266</v>
      </c>
      <c r="C22" s="8" t="s">
        <v>271</v>
      </c>
      <c r="D22" s="9"/>
      <c r="E22" s="9"/>
      <c r="F22" s="9"/>
      <c r="G22" s="9"/>
      <c r="H22" s="9"/>
      <c r="I22" s="10" t="str">
        <f aca="false">IF(AND(ISNUMBER(G22),G22&gt;0),H22/G22,"")</f>
        <v/>
      </c>
      <c r="J22" s="9"/>
    </row>
    <row r="23" customFormat="false" ht="15" hidden="false" customHeight="false" outlineLevel="0" collapsed="false">
      <c r="A23" s="8" t="n">
        <v>19</v>
      </c>
      <c r="B23" s="8" t="s">
        <v>266</v>
      </c>
      <c r="C23" s="8" t="s">
        <v>272</v>
      </c>
      <c r="D23" s="9"/>
      <c r="E23" s="9"/>
      <c r="F23" s="9"/>
      <c r="G23" s="9"/>
      <c r="H23" s="9"/>
      <c r="I23" s="10" t="str">
        <f aca="false">IF(AND(ISNUMBER(G23),G23&gt;0),H23/G23,"")</f>
        <v/>
      </c>
      <c r="J23" s="9"/>
    </row>
    <row r="24" customFormat="false" ht="15" hidden="false" customHeight="false" outlineLevel="0" collapsed="false">
      <c r="A24" s="8" t="n">
        <v>20</v>
      </c>
      <c r="B24" s="8" t="s">
        <v>266</v>
      </c>
      <c r="C24" s="8" t="s">
        <v>273</v>
      </c>
      <c r="D24" s="9"/>
      <c r="E24" s="9"/>
      <c r="F24" s="9"/>
      <c r="G24" s="9"/>
      <c r="H24" s="9"/>
      <c r="I24" s="10" t="str">
        <f aca="false">IF(AND(ISNUMBER(G24),G24&gt;0),H24/G24,"")</f>
        <v/>
      </c>
      <c r="J24" s="9"/>
    </row>
    <row r="25" customFormat="false" ht="23.85" hidden="false" customHeight="false" outlineLevel="0" collapsed="false">
      <c r="A25" s="8" t="n">
        <v>21</v>
      </c>
      <c r="B25" s="8" t="s">
        <v>266</v>
      </c>
      <c r="C25" s="8" t="s">
        <v>274</v>
      </c>
      <c r="D25" s="9"/>
      <c r="E25" s="9"/>
      <c r="F25" s="9"/>
      <c r="G25" s="9"/>
      <c r="H25" s="9"/>
      <c r="I25" s="10" t="str">
        <f aca="false">IF(AND(ISNUMBER(G25),G25&gt;0),H25/G25,"")</f>
        <v/>
      </c>
      <c r="J25" s="9"/>
    </row>
    <row r="26" customFormat="false" ht="15" hidden="false" customHeight="false" outlineLevel="0" collapsed="false">
      <c r="A26" s="8" t="n">
        <v>22</v>
      </c>
      <c r="B26" s="8" t="s">
        <v>275</v>
      </c>
      <c r="C26" s="8" t="s">
        <v>276</v>
      </c>
      <c r="D26" s="9"/>
      <c r="E26" s="9"/>
      <c r="F26" s="9"/>
      <c r="G26" s="9"/>
      <c r="H26" s="9"/>
      <c r="I26" s="10" t="str">
        <f aca="false">IF(AND(ISNUMBER(G26),G26&gt;0),H26/G26,"")</f>
        <v/>
      </c>
      <c r="J26" s="9"/>
    </row>
    <row r="27" customFormat="false" ht="15" hidden="false" customHeight="false" outlineLevel="0" collapsed="false">
      <c r="A27" s="8" t="n">
        <v>23</v>
      </c>
      <c r="B27" s="8" t="s">
        <v>275</v>
      </c>
      <c r="C27" s="8" t="s">
        <v>277</v>
      </c>
      <c r="D27" s="9"/>
      <c r="E27" s="9"/>
      <c r="F27" s="9"/>
      <c r="G27" s="9"/>
      <c r="H27" s="9"/>
      <c r="I27" s="10" t="str">
        <f aca="false">IF(AND(ISNUMBER(G27),G27&gt;0),H27/G27,"")</f>
        <v/>
      </c>
      <c r="J27" s="9"/>
    </row>
    <row r="28" customFormat="false" ht="15" hidden="false" customHeight="false" outlineLevel="0" collapsed="false">
      <c r="A28" s="8" t="n">
        <v>24</v>
      </c>
      <c r="B28" s="8" t="s">
        <v>275</v>
      </c>
      <c r="C28" s="8" t="s">
        <v>278</v>
      </c>
      <c r="D28" s="9"/>
      <c r="E28" s="9"/>
      <c r="F28" s="9"/>
      <c r="G28" s="9"/>
      <c r="H28" s="9"/>
      <c r="I28" s="10" t="str">
        <f aca="false">IF(AND(ISNUMBER(G28),G28&gt;0),H28/G28,"")</f>
        <v/>
      </c>
      <c r="J28" s="9"/>
    </row>
    <row r="29" customFormat="false" ht="15" hidden="false" customHeight="false" outlineLevel="0" collapsed="false">
      <c r="A29" s="8" t="n">
        <v>25</v>
      </c>
      <c r="B29" s="8" t="s">
        <v>275</v>
      </c>
      <c r="C29" s="8" t="s">
        <v>279</v>
      </c>
      <c r="D29" s="9"/>
      <c r="E29" s="9"/>
      <c r="F29" s="9"/>
      <c r="G29" s="9"/>
      <c r="H29" s="9"/>
      <c r="I29" s="10" t="str">
        <f aca="false">IF(AND(ISNUMBER(G29),G29&gt;0),H29/G29,"")</f>
        <v/>
      </c>
      <c r="J29" s="9"/>
    </row>
    <row r="30" customFormat="false" ht="15" hidden="false" customHeight="false" outlineLevel="0" collapsed="false">
      <c r="A30" s="8" t="n">
        <v>26</v>
      </c>
      <c r="B30" s="8" t="s">
        <v>275</v>
      </c>
      <c r="C30" s="8" t="s">
        <v>280</v>
      </c>
      <c r="D30" s="9"/>
      <c r="E30" s="9"/>
      <c r="F30" s="9"/>
      <c r="G30" s="9"/>
      <c r="H30" s="9"/>
      <c r="I30" s="10" t="str">
        <f aca="false">IF(AND(ISNUMBER(G30),G30&gt;0),H30/G30,"")</f>
        <v/>
      </c>
      <c r="J30" s="9"/>
    </row>
    <row r="31" customFormat="false" ht="23.85" hidden="false" customHeight="false" outlineLevel="0" collapsed="false">
      <c r="A31" s="8" t="n">
        <v>27</v>
      </c>
      <c r="B31" s="8" t="s">
        <v>275</v>
      </c>
      <c r="C31" s="8" t="s">
        <v>281</v>
      </c>
      <c r="D31" s="9"/>
      <c r="E31" s="9"/>
      <c r="F31" s="9"/>
      <c r="G31" s="9"/>
      <c r="H31" s="9"/>
      <c r="I31" s="10" t="str">
        <f aca="false">IF(AND(ISNUMBER(G31),G31&gt;0),H31/G31,"")</f>
        <v/>
      </c>
      <c r="J31" s="9"/>
    </row>
    <row r="32" customFormat="false" ht="15" hidden="false" customHeight="false" outlineLevel="0" collapsed="false">
      <c r="A32" s="8" t="n">
        <v>28</v>
      </c>
      <c r="B32" s="8" t="s">
        <v>282</v>
      </c>
      <c r="C32" s="8" t="s">
        <v>283</v>
      </c>
      <c r="D32" s="9"/>
      <c r="E32" s="9"/>
      <c r="F32" s="9"/>
      <c r="G32" s="9"/>
      <c r="H32" s="9"/>
      <c r="I32" s="10" t="str">
        <f aca="false">IF(AND(ISNUMBER(G32),G32&gt;0),H32/G32,"")</f>
        <v/>
      </c>
      <c r="J32" s="9"/>
    </row>
    <row r="33" customFormat="false" ht="15" hidden="false" customHeight="false" outlineLevel="0" collapsed="false">
      <c r="A33" s="8" t="n">
        <v>29</v>
      </c>
      <c r="B33" s="8" t="s">
        <v>282</v>
      </c>
      <c r="C33" s="8" t="s">
        <v>284</v>
      </c>
      <c r="D33" s="9"/>
      <c r="E33" s="9"/>
      <c r="F33" s="9"/>
      <c r="G33" s="9"/>
      <c r="H33" s="9"/>
      <c r="I33" s="10" t="str">
        <f aca="false">IF(AND(ISNUMBER(G33),G33&gt;0),H33/G33,"")</f>
        <v/>
      </c>
      <c r="J33" s="9"/>
    </row>
    <row r="34" customFormat="false" ht="15" hidden="false" customHeight="false" outlineLevel="0" collapsed="false">
      <c r="A34" s="8" t="n">
        <v>30</v>
      </c>
      <c r="B34" s="8" t="s">
        <v>282</v>
      </c>
      <c r="C34" s="8" t="s">
        <v>285</v>
      </c>
      <c r="D34" s="9"/>
      <c r="E34" s="9"/>
      <c r="F34" s="9"/>
      <c r="G34" s="9"/>
      <c r="H34" s="9"/>
      <c r="I34" s="10" t="str">
        <f aca="false">IF(AND(ISNUMBER(G34),G34&gt;0),H34/G34,"")</f>
        <v/>
      </c>
      <c r="J34" s="9"/>
    </row>
  </sheetData>
  <dataValidations count="1">
    <dataValidation allowBlank="true" errorStyle="stop" operator="between" showDropDown="false" showErrorMessage="false" showInputMessage="false" sqref="J5:J34" type="list">
      <formula1>"Thắng,Thua,Test lại"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1"/>
    <col collapsed="false" customWidth="true" hidden="false" outlineLevel="0" max="3" min="3" style="0" width="8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9" min="9" style="0" width="9"/>
    <col collapsed="false" customWidth="true" hidden="false" outlineLevel="0" max="10" min="10" style="0" width="8"/>
    <col collapsed="false" customWidth="true" hidden="false" outlineLevel="0" max="11" min="11" style="0" width="9"/>
    <col collapsed="false" customWidth="true" hidden="false" outlineLevel="0" max="12" min="12" style="0" width="11"/>
    <col collapsed="false" customWidth="true" hidden="false" outlineLevel="0" max="13" min="13" style="0" width="13"/>
    <col collapsed="false" customWidth="true" hidden="false" outlineLevel="0" max="14" min="14" style="0" width="30"/>
  </cols>
  <sheetData>
    <row r="1" customFormat="false" ht="17.35" hidden="false" customHeight="false" outlineLevel="0" collapsed="false">
      <c r="A1" s="5" t="s">
        <v>21</v>
      </c>
    </row>
    <row r="2" customFormat="false" ht="15" hidden="false" customHeight="false" outlineLevel="0" collapsed="false">
      <c r="A2" s="6" t="s">
        <v>286</v>
      </c>
    </row>
    <row r="4" customFormat="false" ht="23.85" hidden="false" customHeight="false" outlineLevel="0" collapsed="false">
      <c r="A4" s="7" t="s">
        <v>287</v>
      </c>
      <c r="B4" s="7" t="s">
        <v>288</v>
      </c>
      <c r="C4" s="7" t="s">
        <v>289</v>
      </c>
      <c r="D4" s="7" t="s">
        <v>290</v>
      </c>
      <c r="E4" s="7" t="s">
        <v>291</v>
      </c>
      <c r="F4" s="7" t="s">
        <v>147</v>
      </c>
      <c r="G4" s="7" t="s">
        <v>292</v>
      </c>
      <c r="H4" s="7" t="s">
        <v>293</v>
      </c>
      <c r="I4" s="7" t="s">
        <v>294</v>
      </c>
      <c r="J4" s="7" t="s">
        <v>295</v>
      </c>
      <c r="K4" s="7" t="s">
        <v>296</v>
      </c>
      <c r="L4" s="7" t="s">
        <v>297</v>
      </c>
      <c r="M4" s="7" t="s">
        <v>298</v>
      </c>
      <c r="N4" s="7" t="s">
        <v>299</v>
      </c>
    </row>
    <row r="5" customFormat="false" ht="15" hidden="false" customHeight="false" outlineLevel="0" collapsed="false">
      <c r="A5" s="8" t="s">
        <v>300</v>
      </c>
      <c r="B5" s="9"/>
      <c r="C5" s="9"/>
      <c r="D5" s="9"/>
      <c r="E5" s="9"/>
      <c r="F5" s="9"/>
      <c r="G5" s="9"/>
      <c r="H5" s="9"/>
      <c r="I5" s="9"/>
      <c r="J5" s="9"/>
      <c r="K5" s="10" t="str">
        <f aca="false">IF(AND(ISNUMBER(H5),H5&gt;0),I5/H5,"")</f>
        <v/>
      </c>
      <c r="L5" s="17" t="str">
        <f aca="false">IF(AND(ISNUMBER(J5),J5&gt;0),G5/J5,"")</f>
        <v/>
      </c>
      <c r="M5" s="9"/>
      <c r="N5" s="9"/>
    </row>
    <row r="6" customFormat="false" ht="15" hidden="false" customHeight="false" outlineLevel="0" collapsed="false">
      <c r="A6" s="8" t="s">
        <v>301</v>
      </c>
      <c r="B6" s="9"/>
      <c r="C6" s="9"/>
      <c r="D6" s="9"/>
      <c r="E6" s="9"/>
      <c r="F6" s="9"/>
      <c r="G6" s="9"/>
      <c r="H6" s="9"/>
      <c r="I6" s="9"/>
      <c r="J6" s="9"/>
      <c r="K6" s="10" t="str">
        <f aca="false">IF(AND(ISNUMBER(H6),H6&gt;0),I6/H6,"")</f>
        <v/>
      </c>
      <c r="L6" s="17" t="str">
        <f aca="false">IF(AND(ISNUMBER(J6),J6&gt;0),G6/J6,"")</f>
        <v/>
      </c>
      <c r="M6" s="9"/>
      <c r="N6" s="9"/>
    </row>
    <row r="7" customFormat="false" ht="15" hidden="false" customHeight="false" outlineLevel="0" collapsed="false">
      <c r="A7" s="8" t="s">
        <v>302</v>
      </c>
      <c r="B7" s="9"/>
      <c r="C7" s="9"/>
      <c r="D7" s="9"/>
      <c r="E7" s="9"/>
      <c r="F7" s="9"/>
      <c r="G7" s="9"/>
      <c r="H7" s="9"/>
      <c r="I7" s="9"/>
      <c r="J7" s="9"/>
      <c r="K7" s="10" t="str">
        <f aca="false">IF(AND(ISNUMBER(H7),H7&gt;0),I7/H7,"")</f>
        <v/>
      </c>
      <c r="L7" s="17" t="str">
        <f aca="false">IF(AND(ISNUMBER(J7),J7&gt;0),G7/J7,"")</f>
        <v/>
      </c>
      <c r="M7" s="9"/>
      <c r="N7" s="9"/>
    </row>
    <row r="8" customFormat="false" ht="15" hidden="false" customHeight="false" outlineLevel="0" collapsed="false">
      <c r="A8" s="8" t="s">
        <v>303</v>
      </c>
      <c r="B8" s="9"/>
      <c r="C8" s="9"/>
      <c r="D8" s="9"/>
      <c r="E8" s="9"/>
      <c r="F8" s="9"/>
      <c r="G8" s="9"/>
      <c r="H8" s="9"/>
      <c r="I8" s="9"/>
      <c r="J8" s="9"/>
      <c r="K8" s="10" t="str">
        <f aca="false">IF(AND(ISNUMBER(H8),H8&gt;0),I8/H8,"")</f>
        <v/>
      </c>
      <c r="L8" s="17" t="str">
        <f aca="false">IF(AND(ISNUMBER(J8),J8&gt;0),G8/J8,"")</f>
        <v/>
      </c>
      <c r="M8" s="9"/>
      <c r="N8" s="9"/>
    </row>
    <row r="9" customFormat="false" ht="15" hidden="false" customHeight="false" outlineLevel="0" collapsed="false">
      <c r="A9" s="8" t="s">
        <v>304</v>
      </c>
      <c r="B9" s="9"/>
      <c r="C9" s="9"/>
      <c r="D9" s="9"/>
      <c r="E9" s="9"/>
      <c r="F9" s="9"/>
      <c r="G9" s="9"/>
      <c r="H9" s="9"/>
      <c r="I9" s="9"/>
      <c r="J9" s="9"/>
      <c r="K9" s="10" t="str">
        <f aca="false">IF(AND(ISNUMBER(H9),H9&gt;0),I9/H9,"")</f>
        <v/>
      </c>
      <c r="L9" s="17" t="str">
        <f aca="false">IF(AND(ISNUMBER(J9),J9&gt;0),G9/J9,"")</f>
        <v/>
      </c>
      <c r="M9" s="9"/>
      <c r="N9" s="9"/>
    </row>
    <row r="10" customFormat="false" ht="15" hidden="false" customHeight="false" outlineLevel="0" collapsed="false">
      <c r="A10" s="8" t="s">
        <v>305</v>
      </c>
      <c r="B10" s="9"/>
      <c r="C10" s="9"/>
      <c r="D10" s="9"/>
      <c r="E10" s="9"/>
      <c r="F10" s="9"/>
      <c r="G10" s="9"/>
      <c r="H10" s="9"/>
      <c r="I10" s="9"/>
      <c r="J10" s="9"/>
      <c r="K10" s="10" t="str">
        <f aca="false">IF(AND(ISNUMBER(H10),H10&gt;0),I10/H10,"")</f>
        <v/>
      </c>
      <c r="L10" s="17" t="str">
        <f aca="false">IF(AND(ISNUMBER(J10),J10&gt;0),G10/J10,"")</f>
        <v/>
      </c>
      <c r="M10" s="9"/>
      <c r="N10" s="9"/>
    </row>
    <row r="11" customFormat="false" ht="15" hidden="false" customHeight="false" outlineLevel="0" collapsed="false">
      <c r="A11" s="8" t="s">
        <v>306</v>
      </c>
      <c r="B11" s="9"/>
      <c r="C11" s="9"/>
      <c r="D11" s="9"/>
      <c r="E11" s="9"/>
      <c r="F11" s="9"/>
      <c r="G11" s="9"/>
      <c r="H11" s="9"/>
      <c r="I11" s="9"/>
      <c r="J11" s="9"/>
      <c r="K11" s="10" t="str">
        <f aca="false">IF(AND(ISNUMBER(H11),H11&gt;0),I11/H11,"")</f>
        <v/>
      </c>
      <c r="L11" s="17" t="str">
        <f aca="false">IF(AND(ISNUMBER(J11),J11&gt;0),G11/J11,"")</f>
        <v/>
      </c>
      <c r="M11" s="9"/>
      <c r="N11" s="9"/>
    </row>
    <row r="12" customFormat="false" ht="15" hidden="false" customHeight="false" outlineLevel="0" collapsed="false">
      <c r="A12" s="8" t="s">
        <v>307</v>
      </c>
      <c r="B12" s="9"/>
      <c r="C12" s="9"/>
      <c r="D12" s="9"/>
      <c r="E12" s="9"/>
      <c r="F12" s="9"/>
      <c r="G12" s="9"/>
      <c r="H12" s="9"/>
      <c r="I12" s="9"/>
      <c r="J12" s="9"/>
      <c r="K12" s="10" t="str">
        <f aca="false">IF(AND(ISNUMBER(H12),H12&gt;0),I12/H12,"")</f>
        <v/>
      </c>
      <c r="L12" s="17" t="str">
        <f aca="false">IF(AND(ISNUMBER(J12),J12&gt;0),G12/J12,"")</f>
        <v/>
      </c>
      <c r="M12" s="9"/>
      <c r="N12" s="9"/>
    </row>
    <row r="13" customFormat="false" ht="15" hidden="false" customHeight="false" outlineLevel="0" collapsed="false">
      <c r="A13" s="8" t="s">
        <v>308</v>
      </c>
      <c r="B13" s="9"/>
      <c r="C13" s="9"/>
      <c r="D13" s="9"/>
      <c r="E13" s="9"/>
      <c r="F13" s="9"/>
      <c r="G13" s="9"/>
      <c r="H13" s="9"/>
      <c r="I13" s="9"/>
      <c r="J13" s="9"/>
      <c r="K13" s="10" t="str">
        <f aca="false">IF(AND(ISNUMBER(H13),H13&gt;0),I13/H13,"")</f>
        <v/>
      </c>
      <c r="L13" s="17" t="str">
        <f aca="false">IF(AND(ISNUMBER(J13),J13&gt;0),G13/J13,"")</f>
        <v/>
      </c>
      <c r="M13" s="9"/>
      <c r="N13" s="9"/>
    </row>
    <row r="14" customFormat="false" ht="15" hidden="false" customHeight="false" outlineLevel="0" collapsed="false">
      <c r="A14" s="8" t="s">
        <v>309</v>
      </c>
      <c r="B14" s="9"/>
      <c r="C14" s="9"/>
      <c r="D14" s="9"/>
      <c r="E14" s="9"/>
      <c r="F14" s="9"/>
      <c r="G14" s="9"/>
      <c r="H14" s="9"/>
      <c r="I14" s="9"/>
      <c r="J14" s="9"/>
      <c r="K14" s="10" t="str">
        <f aca="false">IF(AND(ISNUMBER(H14),H14&gt;0),I14/H14,"")</f>
        <v/>
      </c>
      <c r="L14" s="17" t="str">
        <f aca="false">IF(AND(ISNUMBER(J14),J14&gt;0),G14/J14,"")</f>
        <v/>
      </c>
      <c r="M14" s="9"/>
      <c r="N14" s="9"/>
    </row>
    <row r="15" customFormat="false" ht="15" hidden="false" customHeight="false" outlineLevel="0" collapsed="false">
      <c r="A15" s="8" t="s">
        <v>310</v>
      </c>
      <c r="B15" s="9"/>
      <c r="C15" s="9"/>
      <c r="D15" s="9"/>
      <c r="E15" s="9"/>
      <c r="F15" s="9"/>
      <c r="G15" s="9"/>
      <c r="H15" s="9"/>
      <c r="I15" s="9"/>
      <c r="J15" s="9"/>
      <c r="K15" s="10" t="str">
        <f aca="false">IF(AND(ISNUMBER(H15),H15&gt;0),I15/H15,"")</f>
        <v/>
      </c>
      <c r="L15" s="17" t="str">
        <f aca="false">IF(AND(ISNUMBER(J15),J15&gt;0),G15/J15,"")</f>
        <v/>
      </c>
      <c r="M15" s="9"/>
      <c r="N15" s="9"/>
    </row>
    <row r="16" customFormat="false" ht="15" hidden="false" customHeight="false" outlineLevel="0" collapsed="false">
      <c r="A16" s="8" t="s">
        <v>311</v>
      </c>
      <c r="B16" s="9"/>
      <c r="C16" s="9"/>
      <c r="D16" s="9"/>
      <c r="E16" s="9"/>
      <c r="F16" s="9"/>
      <c r="G16" s="9"/>
      <c r="H16" s="9"/>
      <c r="I16" s="9"/>
      <c r="J16" s="9"/>
      <c r="K16" s="10" t="str">
        <f aca="false">IF(AND(ISNUMBER(H16),H16&gt;0),I16/H16,"")</f>
        <v/>
      </c>
      <c r="L16" s="17" t="str">
        <f aca="false">IF(AND(ISNUMBER(J16),J16&gt;0),G16/J16,"")</f>
        <v/>
      </c>
      <c r="M16" s="9"/>
      <c r="N16" s="9"/>
    </row>
    <row r="17" customFormat="false" ht="15" hidden="false" customHeight="false" outlineLevel="0" collapsed="false">
      <c r="A17" s="8" t="s">
        <v>312</v>
      </c>
      <c r="B17" s="9"/>
      <c r="C17" s="9"/>
      <c r="D17" s="9"/>
      <c r="E17" s="9"/>
      <c r="F17" s="9"/>
      <c r="G17" s="9"/>
      <c r="H17" s="9"/>
      <c r="I17" s="9"/>
      <c r="J17" s="9"/>
      <c r="K17" s="10" t="str">
        <f aca="false">IF(AND(ISNUMBER(H17),H17&gt;0),I17/H17,"")</f>
        <v/>
      </c>
      <c r="L17" s="17" t="str">
        <f aca="false">IF(AND(ISNUMBER(J17),J17&gt;0),G17/J17,"")</f>
        <v/>
      </c>
      <c r="M17" s="9"/>
      <c r="N17" s="9"/>
    </row>
    <row r="18" customFormat="false" ht="15" hidden="false" customHeight="false" outlineLevel="0" collapsed="false">
      <c r="A18" s="8" t="s">
        <v>313</v>
      </c>
      <c r="B18" s="9"/>
      <c r="C18" s="9"/>
      <c r="D18" s="9"/>
      <c r="E18" s="9"/>
      <c r="F18" s="9"/>
      <c r="G18" s="9"/>
      <c r="H18" s="9"/>
      <c r="I18" s="9"/>
      <c r="J18" s="9"/>
      <c r="K18" s="10" t="str">
        <f aca="false">IF(AND(ISNUMBER(H18),H18&gt;0),I18/H18,"")</f>
        <v/>
      </c>
      <c r="L18" s="17" t="str">
        <f aca="false">IF(AND(ISNUMBER(J18),J18&gt;0),G18/J18,"")</f>
        <v/>
      </c>
      <c r="M18" s="9"/>
      <c r="N18" s="9"/>
    </row>
    <row r="19" customFormat="false" ht="15" hidden="false" customHeight="false" outlineLevel="0" collapsed="false">
      <c r="A19" s="8" t="s">
        <v>314</v>
      </c>
      <c r="B19" s="9"/>
      <c r="C19" s="9"/>
      <c r="D19" s="9"/>
      <c r="E19" s="9"/>
      <c r="F19" s="9"/>
      <c r="G19" s="9"/>
      <c r="H19" s="9"/>
      <c r="I19" s="9"/>
      <c r="J19" s="9"/>
      <c r="K19" s="10" t="str">
        <f aca="false">IF(AND(ISNUMBER(H19),H19&gt;0),I19/H19,"")</f>
        <v/>
      </c>
      <c r="L19" s="17" t="str">
        <f aca="false">IF(AND(ISNUMBER(J19),J19&gt;0),G19/J19,"")</f>
        <v/>
      </c>
      <c r="M19" s="9"/>
      <c r="N19" s="9"/>
    </row>
    <row r="20" customFormat="false" ht="15" hidden="false" customHeight="false" outlineLevel="0" collapsed="false">
      <c r="A20" s="8" t="s">
        <v>315</v>
      </c>
      <c r="B20" s="9"/>
      <c r="C20" s="9"/>
      <c r="D20" s="9"/>
      <c r="E20" s="9"/>
      <c r="F20" s="9"/>
      <c r="G20" s="9"/>
      <c r="H20" s="9"/>
      <c r="I20" s="9"/>
      <c r="J20" s="9"/>
      <c r="K20" s="10" t="str">
        <f aca="false">IF(AND(ISNUMBER(H20),H20&gt;0),I20/H20,"")</f>
        <v/>
      </c>
      <c r="L20" s="17" t="str">
        <f aca="false">IF(AND(ISNUMBER(J20),J20&gt;0),G20/J20,"")</f>
        <v/>
      </c>
      <c r="M20" s="9"/>
      <c r="N20" s="9"/>
    </row>
    <row r="21" customFormat="false" ht="15" hidden="false" customHeight="false" outlineLevel="0" collapsed="false">
      <c r="A21" s="8" t="s">
        <v>316</v>
      </c>
      <c r="B21" s="9"/>
      <c r="C21" s="9"/>
      <c r="D21" s="9"/>
      <c r="E21" s="9"/>
      <c r="F21" s="9"/>
      <c r="G21" s="9"/>
      <c r="H21" s="9"/>
      <c r="I21" s="9"/>
      <c r="J21" s="9"/>
      <c r="K21" s="10" t="str">
        <f aca="false">IF(AND(ISNUMBER(H21),H21&gt;0),I21/H21,"")</f>
        <v/>
      </c>
      <c r="L21" s="17" t="str">
        <f aca="false">IF(AND(ISNUMBER(J21),J21&gt;0),G21/J21,"")</f>
        <v/>
      </c>
      <c r="M21" s="9"/>
      <c r="N21" s="9"/>
    </row>
    <row r="22" customFormat="false" ht="15" hidden="false" customHeight="false" outlineLevel="0" collapsed="false">
      <c r="A22" s="8" t="s">
        <v>317</v>
      </c>
      <c r="B22" s="9"/>
      <c r="C22" s="9"/>
      <c r="D22" s="9"/>
      <c r="E22" s="9"/>
      <c r="F22" s="9"/>
      <c r="G22" s="9"/>
      <c r="H22" s="9"/>
      <c r="I22" s="9"/>
      <c r="J22" s="9"/>
      <c r="K22" s="10" t="str">
        <f aca="false">IF(AND(ISNUMBER(H22),H22&gt;0),I22/H22,"")</f>
        <v/>
      </c>
      <c r="L22" s="17" t="str">
        <f aca="false">IF(AND(ISNUMBER(J22),J22&gt;0),G22/J22,"")</f>
        <v/>
      </c>
      <c r="M22" s="9"/>
      <c r="N22" s="9"/>
    </row>
    <row r="23" customFormat="false" ht="15" hidden="false" customHeight="false" outlineLevel="0" collapsed="false">
      <c r="A23" s="8" t="s">
        <v>318</v>
      </c>
      <c r="B23" s="9"/>
      <c r="C23" s="9"/>
      <c r="D23" s="9"/>
      <c r="E23" s="9"/>
      <c r="F23" s="9"/>
      <c r="G23" s="9"/>
      <c r="H23" s="9"/>
      <c r="I23" s="9"/>
      <c r="J23" s="9"/>
      <c r="K23" s="10" t="str">
        <f aca="false">IF(AND(ISNUMBER(H23),H23&gt;0),I23/H23,"")</f>
        <v/>
      </c>
      <c r="L23" s="17" t="str">
        <f aca="false">IF(AND(ISNUMBER(J23),J23&gt;0),G23/J23,"")</f>
        <v/>
      </c>
      <c r="M23" s="9"/>
      <c r="N23" s="9"/>
    </row>
    <row r="24" customFormat="false" ht="15" hidden="false" customHeight="false" outlineLevel="0" collapsed="false">
      <c r="A24" s="8" t="s">
        <v>319</v>
      </c>
      <c r="B24" s="9"/>
      <c r="C24" s="9"/>
      <c r="D24" s="9"/>
      <c r="E24" s="9"/>
      <c r="F24" s="9"/>
      <c r="G24" s="9"/>
      <c r="H24" s="9"/>
      <c r="I24" s="9"/>
      <c r="J24" s="9"/>
      <c r="K24" s="10" t="str">
        <f aca="false">IF(AND(ISNUMBER(H24),H24&gt;0),I24/H24,"")</f>
        <v/>
      </c>
      <c r="L24" s="17" t="str">
        <f aca="false">IF(AND(ISNUMBER(J24),J24&gt;0),G24/J24,"")</f>
        <v/>
      </c>
      <c r="M24" s="9"/>
      <c r="N24" s="9"/>
    </row>
    <row r="25" customFormat="false" ht="15" hidden="false" customHeight="false" outlineLevel="0" collapsed="false">
      <c r="A25" s="8" t="s">
        <v>320</v>
      </c>
      <c r="B25" s="9"/>
      <c r="C25" s="9"/>
      <c r="D25" s="9"/>
      <c r="E25" s="9"/>
      <c r="F25" s="9"/>
      <c r="G25" s="9"/>
      <c r="H25" s="9"/>
      <c r="I25" s="9"/>
      <c r="J25" s="9"/>
      <c r="K25" s="10" t="str">
        <f aca="false">IF(AND(ISNUMBER(H25),H25&gt;0),I25/H25,"")</f>
        <v/>
      </c>
      <c r="L25" s="17" t="str">
        <f aca="false">IF(AND(ISNUMBER(J25),J25&gt;0),G25/J25,"")</f>
        <v/>
      </c>
      <c r="M25" s="9"/>
      <c r="N25" s="9"/>
    </row>
    <row r="26" customFormat="false" ht="15" hidden="false" customHeight="false" outlineLevel="0" collapsed="false">
      <c r="A26" s="8" t="s">
        <v>321</v>
      </c>
      <c r="B26" s="9"/>
      <c r="C26" s="9"/>
      <c r="D26" s="9"/>
      <c r="E26" s="9"/>
      <c r="F26" s="9"/>
      <c r="G26" s="9"/>
      <c r="H26" s="9"/>
      <c r="I26" s="9"/>
      <c r="J26" s="9"/>
      <c r="K26" s="10" t="str">
        <f aca="false">IF(AND(ISNUMBER(H26),H26&gt;0),I26/H26,"")</f>
        <v/>
      </c>
      <c r="L26" s="17" t="str">
        <f aca="false">IF(AND(ISNUMBER(J26),J26&gt;0),G26/J26,"")</f>
        <v/>
      </c>
      <c r="M26" s="9"/>
      <c r="N26" s="9"/>
    </row>
    <row r="27" customFormat="false" ht="15" hidden="false" customHeight="false" outlineLevel="0" collapsed="false">
      <c r="A27" s="8" t="s">
        <v>322</v>
      </c>
      <c r="B27" s="9"/>
      <c r="C27" s="9"/>
      <c r="D27" s="9"/>
      <c r="E27" s="9"/>
      <c r="F27" s="9"/>
      <c r="G27" s="9"/>
      <c r="H27" s="9"/>
      <c r="I27" s="9"/>
      <c r="J27" s="9"/>
      <c r="K27" s="10" t="str">
        <f aca="false">IF(AND(ISNUMBER(H27),H27&gt;0),I27/H27,"")</f>
        <v/>
      </c>
      <c r="L27" s="17" t="str">
        <f aca="false">IF(AND(ISNUMBER(J27),J27&gt;0),G27/J27,"")</f>
        <v/>
      </c>
      <c r="M27" s="9"/>
      <c r="N27" s="9"/>
    </row>
    <row r="28" customFormat="false" ht="15" hidden="false" customHeight="false" outlineLevel="0" collapsed="false">
      <c r="A28" s="8" t="s">
        <v>323</v>
      </c>
      <c r="B28" s="9"/>
      <c r="C28" s="9"/>
      <c r="D28" s="9"/>
      <c r="E28" s="9"/>
      <c r="F28" s="9"/>
      <c r="G28" s="9"/>
      <c r="H28" s="9"/>
      <c r="I28" s="9"/>
      <c r="J28" s="9"/>
      <c r="K28" s="10" t="str">
        <f aca="false">IF(AND(ISNUMBER(H28),H28&gt;0),I28/H28,"")</f>
        <v/>
      </c>
      <c r="L28" s="17" t="str">
        <f aca="false">IF(AND(ISNUMBER(J28),J28&gt;0),G28/J28,"")</f>
        <v/>
      </c>
      <c r="M28" s="9"/>
      <c r="N28" s="9"/>
    </row>
    <row r="29" customFormat="false" ht="15" hidden="false" customHeight="false" outlineLevel="0" collapsed="false">
      <c r="A29" s="8" t="s">
        <v>324</v>
      </c>
      <c r="B29" s="9"/>
      <c r="C29" s="9"/>
      <c r="D29" s="9"/>
      <c r="E29" s="9"/>
      <c r="F29" s="9"/>
      <c r="G29" s="9"/>
      <c r="H29" s="9"/>
      <c r="I29" s="9"/>
      <c r="J29" s="9"/>
      <c r="K29" s="10" t="str">
        <f aca="false">IF(AND(ISNUMBER(H29),H29&gt;0),I29/H29,"")</f>
        <v/>
      </c>
      <c r="L29" s="17" t="str">
        <f aca="false">IF(AND(ISNUMBER(J29),J29&gt;0),G29/J29,"")</f>
        <v/>
      </c>
      <c r="M29" s="9"/>
      <c r="N29" s="9"/>
    </row>
    <row r="30" customFormat="false" ht="15" hidden="false" customHeight="false" outlineLevel="0" collapsed="false">
      <c r="A30" s="8" t="s">
        <v>325</v>
      </c>
      <c r="B30" s="9"/>
      <c r="C30" s="9"/>
      <c r="D30" s="9"/>
      <c r="E30" s="9"/>
      <c r="F30" s="9"/>
      <c r="G30" s="9"/>
      <c r="H30" s="9"/>
      <c r="I30" s="9"/>
      <c r="J30" s="9"/>
      <c r="K30" s="10" t="str">
        <f aca="false">IF(AND(ISNUMBER(H30),H30&gt;0),I30/H30,"")</f>
        <v/>
      </c>
      <c r="L30" s="17" t="str">
        <f aca="false">IF(AND(ISNUMBER(J30),J30&gt;0),G30/J30,"")</f>
        <v/>
      </c>
      <c r="M30" s="9"/>
      <c r="N30" s="9"/>
    </row>
    <row r="31" customFormat="false" ht="15" hidden="false" customHeight="false" outlineLevel="0" collapsed="false">
      <c r="A31" s="8" t="s">
        <v>326</v>
      </c>
      <c r="B31" s="9"/>
      <c r="C31" s="9"/>
      <c r="D31" s="9"/>
      <c r="E31" s="9"/>
      <c r="F31" s="9"/>
      <c r="G31" s="9"/>
      <c r="H31" s="9"/>
      <c r="I31" s="9"/>
      <c r="J31" s="9"/>
      <c r="K31" s="10" t="str">
        <f aca="false">IF(AND(ISNUMBER(H31),H31&gt;0),I31/H31,"")</f>
        <v/>
      </c>
      <c r="L31" s="17" t="str">
        <f aca="false">IF(AND(ISNUMBER(J31),J31&gt;0),G31/J31,"")</f>
        <v/>
      </c>
      <c r="M31" s="9"/>
      <c r="N31" s="9"/>
    </row>
    <row r="32" customFormat="false" ht="15" hidden="false" customHeight="false" outlineLevel="0" collapsed="false">
      <c r="A32" s="8" t="s">
        <v>327</v>
      </c>
      <c r="B32" s="9"/>
      <c r="C32" s="9"/>
      <c r="D32" s="9"/>
      <c r="E32" s="9"/>
      <c r="F32" s="9"/>
      <c r="G32" s="9"/>
      <c r="H32" s="9"/>
      <c r="I32" s="9"/>
      <c r="J32" s="9"/>
      <c r="K32" s="10" t="str">
        <f aca="false">IF(AND(ISNUMBER(H32),H32&gt;0),I32/H32,"")</f>
        <v/>
      </c>
      <c r="L32" s="17" t="str">
        <f aca="false">IF(AND(ISNUMBER(J32),J32&gt;0),G32/J32,"")</f>
        <v/>
      </c>
      <c r="M32" s="9"/>
      <c r="N32" s="9"/>
    </row>
    <row r="33" customFormat="false" ht="15" hidden="false" customHeight="false" outlineLevel="0" collapsed="false">
      <c r="A33" s="8" t="s">
        <v>328</v>
      </c>
      <c r="B33" s="9"/>
      <c r="C33" s="9"/>
      <c r="D33" s="9"/>
      <c r="E33" s="9"/>
      <c r="F33" s="9"/>
      <c r="G33" s="9"/>
      <c r="H33" s="9"/>
      <c r="I33" s="9"/>
      <c r="J33" s="9"/>
      <c r="K33" s="10" t="str">
        <f aca="false">IF(AND(ISNUMBER(H33),H33&gt;0),I33/H33,"")</f>
        <v/>
      </c>
      <c r="L33" s="17" t="str">
        <f aca="false">IF(AND(ISNUMBER(J33),J33&gt;0),G33/J33,"")</f>
        <v/>
      </c>
      <c r="M33" s="9"/>
      <c r="N33" s="9"/>
    </row>
    <row r="34" customFormat="false" ht="15" hidden="false" customHeight="false" outlineLevel="0" collapsed="false">
      <c r="A34" s="8" t="s">
        <v>329</v>
      </c>
      <c r="B34" s="9"/>
      <c r="C34" s="9"/>
      <c r="D34" s="9"/>
      <c r="E34" s="9"/>
      <c r="F34" s="9"/>
      <c r="G34" s="9"/>
      <c r="H34" s="9"/>
      <c r="I34" s="9"/>
      <c r="J34" s="9"/>
      <c r="K34" s="10" t="str">
        <f aca="false">IF(AND(ISNUMBER(H34),H34&gt;0),I34/H34,"")</f>
        <v/>
      </c>
      <c r="L34" s="17" t="str">
        <f aca="false">IF(AND(ISNUMBER(J34),J34&gt;0),G34/J34,"")</f>
        <v/>
      </c>
      <c r="M34" s="9"/>
      <c r="N34" s="9"/>
    </row>
    <row r="35" customFormat="false" ht="15" hidden="false" customHeight="false" outlineLevel="0" collapsed="false">
      <c r="A35" s="8" t="s">
        <v>330</v>
      </c>
      <c r="B35" s="9"/>
      <c r="C35" s="9"/>
      <c r="D35" s="9"/>
      <c r="E35" s="9"/>
      <c r="F35" s="9"/>
      <c r="G35" s="9"/>
      <c r="H35" s="9"/>
      <c r="I35" s="9"/>
      <c r="J35" s="9"/>
      <c r="K35" s="10" t="str">
        <f aca="false">IF(AND(ISNUMBER(H35),H35&gt;0),I35/H35,"")</f>
        <v/>
      </c>
      <c r="L35" s="17" t="str">
        <f aca="false">IF(AND(ISNUMBER(J35),J35&gt;0),G35/J35,"")</f>
        <v/>
      </c>
      <c r="M35" s="9"/>
      <c r="N35" s="9"/>
    </row>
    <row r="36" customFormat="false" ht="15" hidden="false" customHeight="false" outlineLevel="0" collapsed="false">
      <c r="A36" s="8" t="s">
        <v>331</v>
      </c>
      <c r="B36" s="9"/>
      <c r="C36" s="9"/>
      <c r="D36" s="9"/>
      <c r="E36" s="9"/>
      <c r="F36" s="9"/>
      <c r="G36" s="9"/>
      <c r="H36" s="9"/>
      <c r="I36" s="9"/>
      <c r="J36" s="9"/>
      <c r="K36" s="10" t="str">
        <f aca="false">IF(AND(ISNUMBER(H36),H36&gt;0),I36/H36,"")</f>
        <v/>
      </c>
      <c r="L36" s="17" t="str">
        <f aca="false">IF(AND(ISNUMBER(J36),J36&gt;0),G36/J36,"")</f>
        <v/>
      </c>
      <c r="M36" s="9"/>
      <c r="N36" s="9"/>
    </row>
    <row r="37" customFormat="false" ht="15" hidden="false" customHeight="false" outlineLevel="0" collapsed="false">
      <c r="A37" s="8" t="s">
        <v>332</v>
      </c>
      <c r="B37" s="9"/>
      <c r="C37" s="9"/>
      <c r="D37" s="9"/>
      <c r="E37" s="9"/>
      <c r="F37" s="9"/>
      <c r="G37" s="9"/>
      <c r="H37" s="9"/>
      <c r="I37" s="9"/>
      <c r="J37" s="9"/>
      <c r="K37" s="10" t="str">
        <f aca="false">IF(AND(ISNUMBER(H37),H37&gt;0),I37/H37,"")</f>
        <v/>
      </c>
      <c r="L37" s="17" t="str">
        <f aca="false">IF(AND(ISNUMBER(J37),J37&gt;0),G37/J37,"")</f>
        <v/>
      </c>
      <c r="M37" s="9"/>
      <c r="N37" s="9"/>
    </row>
    <row r="38" customFormat="false" ht="15" hidden="false" customHeight="false" outlineLevel="0" collapsed="false">
      <c r="A38" s="8" t="s">
        <v>333</v>
      </c>
      <c r="B38" s="9"/>
      <c r="C38" s="9"/>
      <c r="D38" s="9"/>
      <c r="E38" s="9"/>
      <c r="F38" s="9"/>
      <c r="G38" s="9"/>
      <c r="H38" s="9"/>
      <c r="I38" s="9"/>
      <c r="J38" s="9"/>
      <c r="K38" s="10" t="str">
        <f aca="false">IF(AND(ISNUMBER(H38),H38&gt;0),I38/H38,"")</f>
        <v/>
      </c>
      <c r="L38" s="17" t="str">
        <f aca="false">IF(AND(ISNUMBER(J38),J38&gt;0),G38/J38,"")</f>
        <v/>
      </c>
      <c r="M38" s="9"/>
      <c r="N38" s="9"/>
    </row>
    <row r="39" customFormat="false" ht="15" hidden="false" customHeight="false" outlineLevel="0" collapsed="false">
      <c r="A39" s="8" t="s">
        <v>334</v>
      </c>
      <c r="B39" s="9"/>
      <c r="C39" s="9"/>
      <c r="D39" s="9"/>
      <c r="E39" s="9"/>
      <c r="F39" s="9"/>
      <c r="G39" s="9"/>
      <c r="H39" s="9"/>
      <c r="I39" s="9"/>
      <c r="J39" s="9"/>
      <c r="K39" s="10" t="str">
        <f aca="false">IF(AND(ISNUMBER(H39),H39&gt;0),I39/H39,"")</f>
        <v/>
      </c>
      <c r="L39" s="17" t="str">
        <f aca="false">IF(AND(ISNUMBER(J39),J39&gt;0),G39/J39,"")</f>
        <v/>
      </c>
      <c r="M39" s="9"/>
      <c r="N39" s="9"/>
    </row>
    <row r="40" customFormat="false" ht="15" hidden="false" customHeight="false" outlineLevel="0" collapsed="false">
      <c r="A40" s="8" t="s">
        <v>335</v>
      </c>
      <c r="B40" s="9"/>
      <c r="C40" s="9"/>
      <c r="D40" s="9"/>
      <c r="E40" s="9"/>
      <c r="F40" s="9"/>
      <c r="G40" s="9"/>
      <c r="H40" s="9"/>
      <c r="I40" s="9"/>
      <c r="J40" s="9"/>
      <c r="K40" s="10" t="str">
        <f aca="false">IF(AND(ISNUMBER(H40),H40&gt;0),I40/H40,"")</f>
        <v/>
      </c>
      <c r="L40" s="17" t="str">
        <f aca="false">IF(AND(ISNUMBER(J40),J40&gt;0),G40/J40,"")</f>
        <v/>
      </c>
      <c r="M40" s="9"/>
      <c r="N40" s="9"/>
    </row>
    <row r="41" customFormat="false" ht="15" hidden="false" customHeight="false" outlineLevel="0" collapsed="false">
      <c r="A41" s="8" t="s">
        <v>336</v>
      </c>
      <c r="B41" s="9"/>
      <c r="C41" s="9"/>
      <c r="D41" s="9"/>
      <c r="E41" s="9"/>
      <c r="F41" s="9"/>
      <c r="G41" s="9"/>
      <c r="H41" s="9"/>
      <c r="I41" s="9"/>
      <c r="J41" s="9"/>
      <c r="K41" s="10" t="str">
        <f aca="false">IF(AND(ISNUMBER(H41),H41&gt;0),I41/H41,"")</f>
        <v/>
      </c>
      <c r="L41" s="17" t="str">
        <f aca="false">IF(AND(ISNUMBER(J41),J41&gt;0),G41/J41,"")</f>
        <v/>
      </c>
      <c r="M41" s="9"/>
      <c r="N41" s="9"/>
    </row>
    <row r="42" customFormat="false" ht="15" hidden="false" customHeight="false" outlineLevel="0" collapsed="false">
      <c r="A42" s="8" t="s">
        <v>337</v>
      </c>
      <c r="B42" s="9"/>
      <c r="C42" s="9"/>
      <c r="D42" s="9"/>
      <c r="E42" s="9"/>
      <c r="F42" s="9"/>
      <c r="G42" s="9"/>
      <c r="H42" s="9"/>
      <c r="I42" s="9"/>
      <c r="J42" s="9"/>
      <c r="K42" s="10" t="str">
        <f aca="false">IF(AND(ISNUMBER(H42),H42&gt;0),I42/H42,"")</f>
        <v/>
      </c>
      <c r="L42" s="17" t="str">
        <f aca="false">IF(AND(ISNUMBER(J42),J42&gt;0),G42/J42,"")</f>
        <v/>
      </c>
      <c r="M42" s="9"/>
      <c r="N42" s="9"/>
    </row>
    <row r="43" customFormat="false" ht="15" hidden="false" customHeight="false" outlineLevel="0" collapsed="false">
      <c r="A43" s="8" t="s">
        <v>338</v>
      </c>
      <c r="B43" s="9"/>
      <c r="C43" s="9"/>
      <c r="D43" s="9"/>
      <c r="E43" s="9"/>
      <c r="F43" s="9"/>
      <c r="G43" s="9"/>
      <c r="H43" s="9"/>
      <c r="I43" s="9"/>
      <c r="J43" s="9"/>
      <c r="K43" s="10" t="str">
        <f aca="false">IF(AND(ISNUMBER(H43),H43&gt;0),I43/H43,"")</f>
        <v/>
      </c>
      <c r="L43" s="17" t="str">
        <f aca="false">IF(AND(ISNUMBER(J43),J43&gt;0),G43/J43,"")</f>
        <v/>
      </c>
      <c r="M43" s="9"/>
      <c r="N43" s="9"/>
    </row>
    <row r="44" customFormat="false" ht="15" hidden="false" customHeight="false" outlineLevel="0" collapsed="false">
      <c r="A44" s="8" t="s">
        <v>339</v>
      </c>
      <c r="B44" s="9"/>
      <c r="C44" s="9"/>
      <c r="D44" s="9"/>
      <c r="E44" s="9"/>
      <c r="F44" s="9"/>
      <c r="G44" s="9"/>
      <c r="H44" s="9"/>
      <c r="I44" s="9"/>
      <c r="J44" s="9"/>
      <c r="K44" s="10" t="str">
        <f aca="false">IF(AND(ISNUMBER(H44),H44&gt;0),I44/H44,"")</f>
        <v/>
      </c>
      <c r="L44" s="17" t="str">
        <f aca="false">IF(AND(ISNUMBER(J44),J44&gt;0),G44/J44,"")</f>
        <v/>
      </c>
      <c r="M44" s="9"/>
      <c r="N44" s="9"/>
    </row>
  </sheetData>
  <dataValidations count="2">
    <dataValidation allowBlank="true" errorStyle="stop" operator="between" showDropDown="false" showErrorMessage="false" showInputMessage="false" sqref="M5:M44" type="list">
      <formula1>"Lưu,Thắng,Loại"</formula1>
      <formula2>0</formula2>
    </dataValidation>
    <dataValidation allowBlank="true" errorStyle="stop" operator="between" showDropDown="false" showErrorMessage="false" showInputMessage="false" sqref="F5:F44" type="list">
      <formula1>"TikTok,Shopee,Facebook,Zalo,Khác"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8"/>
    <col collapsed="false" customWidth="true" hidden="false" outlineLevel="0" max="4" min="3" style="0" width="16"/>
  </cols>
  <sheetData>
    <row r="1" customFormat="false" ht="17.35" hidden="false" customHeight="false" outlineLevel="0" collapsed="false">
      <c r="A1" s="5" t="s">
        <v>23</v>
      </c>
    </row>
    <row r="2" customFormat="false" ht="15" hidden="false" customHeight="false" outlineLevel="0" collapsed="false">
      <c r="A2" s="6" t="s">
        <v>340</v>
      </c>
    </row>
    <row r="4" customFormat="false" ht="15" hidden="false" customHeight="false" outlineLevel="0" collapsed="false">
      <c r="A4" s="7" t="s">
        <v>341</v>
      </c>
      <c r="B4" s="7" t="s">
        <v>167</v>
      </c>
    </row>
    <row r="5" customFormat="false" ht="15" hidden="false" customHeight="false" outlineLevel="0" collapsed="false">
      <c r="A5" s="8" t="s">
        <v>342</v>
      </c>
      <c r="B5" s="18"/>
    </row>
    <row r="6" customFormat="false" ht="15" hidden="false" customHeight="false" outlineLevel="0" collapsed="false">
      <c r="A6" s="8" t="s">
        <v>343</v>
      </c>
      <c r="B6" s="9" t="s">
        <v>344</v>
      </c>
    </row>
    <row r="7" customFormat="false" ht="15" hidden="false" customHeight="false" outlineLevel="0" collapsed="false">
      <c r="A7" s="8" t="s">
        <v>345</v>
      </c>
      <c r="B7" s="15" t="n">
        <f aca="false">IF(B6="Tháng 1–3",0.3,IF(B6="Tháng 4–6",0.4,0.5))</f>
        <v>0.3</v>
      </c>
    </row>
    <row r="8" customFormat="false" ht="15" hidden="false" customHeight="false" outlineLevel="0" collapsed="false">
      <c r="A8" s="8" t="s">
        <v>346</v>
      </c>
      <c r="B8" s="17" t="str">
        <f aca="false">IF(ISNUMBER(B5),B5*B7,"")</f>
        <v/>
      </c>
    </row>
    <row r="9" customFormat="false" ht="15" hidden="false" customHeight="false" outlineLevel="0" collapsed="false">
      <c r="A9" s="8" t="s">
        <v>347</v>
      </c>
      <c r="B9" s="17" t="str">
        <f aca="false">IF(ISNUMBER(B5),B5-B8,"")</f>
        <v/>
      </c>
    </row>
    <row r="11" customFormat="false" ht="15" hidden="false" customHeight="false" outlineLevel="0" collapsed="false">
      <c r="A11" s="24" t="s">
        <v>147</v>
      </c>
      <c r="B11" s="24" t="s">
        <v>348</v>
      </c>
      <c r="C11" s="24" t="s">
        <v>349</v>
      </c>
      <c r="D11" s="24" t="s">
        <v>350</v>
      </c>
    </row>
    <row r="12" customFormat="false" ht="15" hidden="false" customHeight="false" outlineLevel="0" collapsed="false">
      <c r="A12" s="8" t="s">
        <v>351</v>
      </c>
      <c r="B12" s="8" t="s">
        <v>352</v>
      </c>
      <c r="C12" s="19" t="n">
        <v>0.5</v>
      </c>
      <c r="D12" s="17" t="str">
        <f aca="false">IF(ISNUMBER($B$5),IF(B12="Brand",$B$8,$B$9)*C12,"")</f>
        <v/>
      </c>
    </row>
    <row r="13" customFormat="false" ht="15" hidden="false" customHeight="false" outlineLevel="0" collapsed="false">
      <c r="A13" s="8" t="s">
        <v>353</v>
      </c>
      <c r="B13" s="8" t="s">
        <v>352</v>
      </c>
      <c r="C13" s="19" t="n">
        <v>0.3</v>
      </c>
      <c r="D13" s="17" t="str">
        <f aca="false">IF(ISNUMBER($B$5),IF(B13="Brand",$B$8,$B$9)*C13,"")</f>
        <v/>
      </c>
    </row>
    <row r="14" customFormat="false" ht="15" hidden="false" customHeight="false" outlineLevel="0" collapsed="false">
      <c r="A14" s="8" t="s">
        <v>354</v>
      </c>
      <c r="B14" s="8" t="s">
        <v>352</v>
      </c>
      <c r="C14" s="19" t="n">
        <v>0.2</v>
      </c>
      <c r="D14" s="17" t="str">
        <f aca="false">IF(ISNUMBER($B$5),IF(B14="Brand",$B$8,$B$9)*C14,"")</f>
        <v/>
      </c>
    </row>
    <row r="15" customFormat="false" ht="15" hidden="false" customHeight="false" outlineLevel="0" collapsed="false">
      <c r="A15" s="8" t="s">
        <v>355</v>
      </c>
      <c r="B15" s="8" t="s">
        <v>356</v>
      </c>
      <c r="C15" s="19" t="n">
        <v>0.45</v>
      </c>
      <c r="D15" s="17" t="str">
        <f aca="false">IF(ISNUMBER($B$5),IF(B15="Brand",$B$8,$B$9)*C15,"")</f>
        <v/>
      </c>
    </row>
    <row r="16" customFormat="false" ht="15" hidden="false" customHeight="false" outlineLevel="0" collapsed="false">
      <c r="A16" s="8" t="s">
        <v>357</v>
      </c>
      <c r="B16" s="8" t="s">
        <v>356</v>
      </c>
      <c r="C16" s="19" t="n">
        <v>0.2</v>
      </c>
      <c r="D16" s="17" t="str">
        <f aca="false">IF(ISNUMBER($B$5),IF(B16="Brand",$B$8,$B$9)*C16,"")</f>
        <v/>
      </c>
    </row>
    <row r="17" customFormat="false" ht="15" hidden="false" customHeight="false" outlineLevel="0" collapsed="false">
      <c r="A17" s="8" t="s">
        <v>358</v>
      </c>
      <c r="B17" s="8" t="s">
        <v>356</v>
      </c>
      <c r="C17" s="19" t="n">
        <v>0.2</v>
      </c>
      <c r="D17" s="17" t="str">
        <f aca="false">IF(ISNUMBER($B$5),IF(B17="Brand",$B$8,$B$9)*C17,"")</f>
        <v/>
      </c>
    </row>
    <row r="18" customFormat="false" ht="15" hidden="false" customHeight="false" outlineLevel="0" collapsed="false">
      <c r="A18" s="8" t="s">
        <v>359</v>
      </c>
      <c r="B18" s="8" t="s">
        <v>356</v>
      </c>
      <c r="C18" s="19" t="n">
        <v>0.15</v>
      </c>
      <c r="D18" s="17" t="str">
        <f aca="false">IF(ISNUMBER($B$5),IF(B18="Brand",$B$8,$B$9)*C18,"")</f>
        <v/>
      </c>
    </row>
    <row r="19" customFormat="false" ht="15" hidden="false" customHeight="false" outlineLevel="0" collapsed="false">
      <c r="A19" s="8" t="s">
        <v>360</v>
      </c>
      <c r="C19" s="15" t="n">
        <f aca="false">SUMIF(B12:B18,"Brand",C12:C18)</f>
        <v>1</v>
      </c>
    </row>
    <row r="20" customFormat="false" ht="15" hidden="false" customHeight="false" outlineLevel="0" collapsed="false">
      <c r="C20" s="15" t="n">
        <f aca="false">SUMIF(B12:B18,"Activation",C12:C18)</f>
        <v>1</v>
      </c>
    </row>
  </sheetData>
  <dataValidations count="1">
    <dataValidation allowBlank="true" errorStyle="stop" operator="between" showDropDown="false" showErrorMessage="false" showInputMessage="false" sqref="B6" type="list">
      <formula1>"Tháng 1–3,Tháng 4–6,Tháng 7–12"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8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9" min="9" style="0" width="8"/>
    <col collapsed="false" customWidth="true" hidden="false" outlineLevel="0" max="11" min="10" style="0" width="11"/>
    <col collapsed="false" customWidth="true" hidden="false" outlineLevel="0" max="12" min="12" style="0" width="13"/>
    <col collapsed="false" customWidth="true" hidden="false" outlineLevel="0" max="14" min="13" style="0" width="12"/>
    <col collapsed="false" customWidth="true" hidden="false" outlineLevel="0" max="16" min="15" style="0" width="10"/>
  </cols>
  <sheetData>
    <row r="1" customFormat="false" ht="17.35" hidden="false" customHeight="false" outlineLevel="0" collapsed="false">
      <c r="A1" s="5" t="s">
        <v>25</v>
      </c>
    </row>
    <row r="2" customFormat="false" ht="15" hidden="false" customHeight="false" outlineLevel="0" collapsed="false">
      <c r="A2" s="6" t="s">
        <v>85</v>
      </c>
    </row>
    <row r="4" customFormat="false" ht="35.05" hidden="false" customHeight="false" outlineLevel="0" collapsed="false">
      <c r="A4" s="7" t="s">
        <v>361</v>
      </c>
      <c r="B4" s="7" t="s">
        <v>362</v>
      </c>
      <c r="C4" s="7" t="s">
        <v>295</v>
      </c>
      <c r="D4" s="7" t="s">
        <v>363</v>
      </c>
      <c r="E4" s="7" t="s">
        <v>364</v>
      </c>
      <c r="F4" s="7" t="s">
        <v>365</v>
      </c>
      <c r="G4" s="7" t="s">
        <v>366</v>
      </c>
      <c r="H4" s="7" t="s">
        <v>367</v>
      </c>
      <c r="I4" s="7" t="s">
        <v>368</v>
      </c>
      <c r="J4" s="7" t="s">
        <v>369</v>
      </c>
      <c r="K4" s="7" t="s">
        <v>370</v>
      </c>
      <c r="L4" s="7" t="s">
        <v>371</v>
      </c>
      <c r="M4" s="7" t="s">
        <v>372</v>
      </c>
      <c r="N4" s="7" t="s">
        <v>373</v>
      </c>
      <c r="O4" s="7" t="s">
        <v>374</v>
      </c>
      <c r="P4" s="7" t="s">
        <v>375</v>
      </c>
    </row>
    <row r="5" customFormat="false" ht="15" hidden="false" customHeight="false" outlineLevel="0" collapsed="false">
      <c r="A5" s="25"/>
      <c r="B5" s="18"/>
      <c r="C5" s="18"/>
      <c r="D5" s="18"/>
      <c r="E5" s="18"/>
      <c r="F5" s="18"/>
      <c r="G5" s="18"/>
      <c r="H5" s="18"/>
      <c r="I5" s="10" t="str">
        <f aca="false">IF(AND(ISNUMBER(B5),B5&gt;0),C5/B5,"")</f>
        <v/>
      </c>
      <c r="J5" s="17" t="str">
        <f aca="false">IF(AND(ISNUMBER(C5),C5&gt;0),D5/C5,"")</f>
        <v/>
      </c>
      <c r="K5" s="17" t="str">
        <f aca="false">IF(AND(ISNUMBER(E5),E5&gt;0),G5/E5,"")</f>
        <v/>
      </c>
      <c r="L5" s="17" t="str">
        <f aca="false">IF(AND(ISNUMBER(C5),ISNUMBER(H5)),C5*H5-N(G5),"")</f>
        <v/>
      </c>
      <c r="M5" s="12"/>
      <c r="N5" s="18"/>
      <c r="O5" s="12" t="str">
        <f aca="false">IF(AND(ISNUMBER(P5),P5&gt;0),N5/P5,"")</f>
        <v/>
      </c>
      <c r="P5" s="18"/>
    </row>
    <row r="6" customFormat="false" ht="15" hidden="false" customHeight="false" outlineLevel="0" collapsed="false">
      <c r="A6" s="25"/>
      <c r="B6" s="18"/>
      <c r="C6" s="18"/>
      <c r="D6" s="18"/>
      <c r="E6" s="18"/>
      <c r="F6" s="18"/>
      <c r="G6" s="18"/>
      <c r="H6" s="18"/>
      <c r="I6" s="10" t="str">
        <f aca="false">IF(AND(ISNUMBER(B6),B6&gt;0),C6/B6,"")</f>
        <v/>
      </c>
      <c r="J6" s="17" t="str">
        <f aca="false">IF(AND(ISNUMBER(C6),C6&gt;0),D6/C6,"")</f>
        <v/>
      </c>
      <c r="K6" s="17" t="str">
        <f aca="false">IF(AND(ISNUMBER(E6),E6&gt;0),G6/E6,"")</f>
        <v/>
      </c>
      <c r="L6" s="17" t="str">
        <f aca="false">IF(AND(ISNUMBER(C6),ISNUMBER(H6)),C6*H6-N(G6),"")</f>
        <v/>
      </c>
      <c r="M6" s="12" t="str">
        <f aca="false">IF(AND(ISNUMBER(D6),ISNUMBER(D5),D5&gt;0),D6/D5-1,"")</f>
        <v/>
      </c>
      <c r="N6" s="18"/>
      <c r="O6" s="12" t="str">
        <f aca="false">IF(AND(ISNUMBER(P6),P6&gt;0),N6/P6,"")</f>
        <v/>
      </c>
      <c r="P6" s="18"/>
    </row>
    <row r="7" customFormat="false" ht="15" hidden="false" customHeight="false" outlineLevel="0" collapsed="false">
      <c r="A7" s="25"/>
      <c r="B7" s="18"/>
      <c r="C7" s="18"/>
      <c r="D7" s="18"/>
      <c r="E7" s="18"/>
      <c r="F7" s="18"/>
      <c r="G7" s="18"/>
      <c r="H7" s="18"/>
      <c r="I7" s="10" t="str">
        <f aca="false">IF(AND(ISNUMBER(B7),B7&gt;0),C7/B7,"")</f>
        <v/>
      </c>
      <c r="J7" s="17" t="str">
        <f aca="false">IF(AND(ISNUMBER(C7),C7&gt;0),D7/C7,"")</f>
        <v/>
      </c>
      <c r="K7" s="17" t="str">
        <f aca="false">IF(AND(ISNUMBER(E7),E7&gt;0),G7/E7,"")</f>
        <v/>
      </c>
      <c r="L7" s="17" t="str">
        <f aca="false">IF(AND(ISNUMBER(C7),ISNUMBER(H7)),C7*H7-N(G7),"")</f>
        <v/>
      </c>
      <c r="M7" s="12" t="str">
        <f aca="false">IF(AND(ISNUMBER(D7),ISNUMBER(D6),D6&gt;0),D7/D6-1,"")</f>
        <v/>
      </c>
      <c r="N7" s="18"/>
      <c r="O7" s="12" t="str">
        <f aca="false">IF(AND(ISNUMBER(P7),P7&gt;0),N7/P7,"")</f>
        <v/>
      </c>
      <c r="P7" s="18"/>
    </row>
    <row r="8" customFormat="false" ht="15" hidden="false" customHeight="false" outlineLevel="0" collapsed="false">
      <c r="A8" s="25"/>
      <c r="B8" s="18"/>
      <c r="C8" s="18"/>
      <c r="D8" s="18"/>
      <c r="E8" s="18"/>
      <c r="F8" s="18"/>
      <c r="G8" s="18"/>
      <c r="H8" s="18"/>
      <c r="I8" s="10" t="str">
        <f aca="false">IF(AND(ISNUMBER(B8),B8&gt;0),C8/B8,"")</f>
        <v/>
      </c>
      <c r="J8" s="17" t="str">
        <f aca="false">IF(AND(ISNUMBER(C8),C8&gt;0),D8/C8,"")</f>
        <v/>
      </c>
      <c r="K8" s="17" t="str">
        <f aca="false">IF(AND(ISNUMBER(E8),E8&gt;0),G8/E8,"")</f>
        <v/>
      </c>
      <c r="L8" s="17" t="str">
        <f aca="false">IF(AND(ISNUMBER(C8),ISNUMBER(H8)),C8*H8-N(G8),"")</f>
        <v/>
      </c>
      <c r="M8" s="12" t="str">
        <f aca="false">IF(AND(ISNUMBER(D8),ISNUMBER(D7),D7&gt;0),D8/D7-1,"")</f>
        <v/>
      </c>
      <c r="N8" s="18"/>
      <c r="O8" s="12" t="str">
        <f aca="false">IF(AND(ISNUMBER(P8),P8&gt;0),N8/P8,"")</f>
        <v/>
      </c>
      <c r="P8" s="18"/>
    </row>
    <row r="9" customFormat="false" ht="15" hidden="false" customHeight="false" outlineLevel="0" collapsed="false">
      <c r="A9" s="25"/>
      <c r="B9" s="18"/>
      <c r="C9" s="18"/>
      <c r="D9" s="18"/>
      <c r="E9" s="18"/>
      <c r="F9" s="18"/>
      <c r="G9" s="18"/>
      <c r="H9" s="18"/>
      <c r="I9" s="10" t="str">
        <f aca="false">IF(AND(ISNUMBER(B9),B9&gt;0),C9/B9,"")</f>
        <v/>
      </c>
      <c r="J9" s="17" t="str">
        <f aca="false">IF(AND(ISNUMBER(C9),C9&gt;0),D9/C9,"")</f>
        <v/>
      </c>
      <c r="K9" s="17" t="str">
        <f aca="false">IF(AND(ISNUMBER(E9),E9&gt;0),G9/E9,"")</f>
        <v/>
      </c>
      <c r="L9" s="17" t="str">
        <f aca="false">IF(AND(ISNUMBER(C9),ISNUMBER(H9)),C9*H9-N(G9),"")</f>
        <v/>
      </c>
      <c r="M9" s="12" t="str">
        <f aca="false">IF(AND(ISNUMBER(D9),ISNUMBER(D8),D8&gt;0),D9/D8-1,"")</f>
        <v/>
      </c>
      <c r="N9" s="18"/>
      <c r="O9" s="12" t="str">
        <f aca="false">IF(AND(ISNUMBER(P9),P9&gt;0),N9/P9,"")</f>
        <v/>
      </c>
      <c r="P9" s="18"/>
    </row>
    <row r="10" customFormat="false" ht="15" hidden="false" customHeight="false" outlineLevel="0" collapsed="false">
      <c r="A10" s="25"/>
      <c r="B10" s="18"/>
      <c r="C10" s="18"/>
      <c r="D10" s="18"/>
      <c r="E10" s="18"/>
      <c r="F10" s="18"/>
      <c r="G10" s="18"/>
      <c r="H10" s="18"/>
      <c r="I10" s="10" t="str">
        <f aca="false">IF(AND(ISNUMBER(B10),B10&gt;0),C10/B10,"")</f>
        <v/>
      </c>
      <c r="J10" s="17" t="str">
        <f aca="false">IF(AND(ISNUMBER(C10),C10&gt;0),D10/C10,"")</f>
        <v/>
      </c>
      <c r="K10" s="17" t="str">
        <f aca="false">IF(AND(ISNUMBER(E10),E10&gt;0),G10/E10,"")</f>
        <v/>
      </c>
      <c r="L10" s="17" t="str">
        <f aca="false">IF(AND(ISNUMBER(C10),ISNUMBER(H10)),C10*H10-N(G10),"")</f>
        <v/>
      </c>
      <c r="M10" s="12" t="str">
        <f aca="false">IF(AND(ISNUMBER(D10),ISNUMBER(D9),D9&gt;0),D10/D9-1,"")</f>
        <v/>
      </c>
      <c r="N10" s="18"/>
      <c r="O10" s="12" t="str">
        <f aca="false">IF(AND(ISNUMBER(P10),P10&gt;0),N10/P10,"")</f>
        <v/>
      </c>
      <c r="P10" s="18"/>
    </row>
    <row r="11" customFormat="false" ht="15" hidden="false" customHeight="false" outlineLevel="0" collapsed="false">
      <c r="A11" s="25"/>
      <c r="B11" s="18"/>
      <c r="C11" s="18"/>
      <c r="D11" s="18"/>
      <c r="E11" s="18"/>
      <c r="F11" s="18"/>
      <c r="G11" s="18"/>
      <c r="H11" s="18"/>
      <c r="I11" s="10" t="str">
        <f aca="false">IF(AND(ISNUMBER(B11),B11&gt;0),C11/B11,"")</f>
        <v/>
      </c>
      <c r="J11" s="17" t="str">
        <f aca="false">IF(AND(ISNUMBER(C11),C11&gt;0),D11/C11,"")</f>
        <v/>
      </c>
      <c r="K11" s="17" t="str">
        <f aca="false">IF(AND(ISNUMBER(E11),E11&gt;0),G11/E11,"")</f>
        <v/>
      </c>
      <c r="L11" s="17" t="str">
        <f aca="false">IF(AND(ISNUMBER(C11),ISNUMBER(H11)),C11*H11-N(G11),"")</f>
        <v/>
      </c>
      <c r="M11" s="12" t="str">
        <f aca="false">IF(AND(ISNUMBER(D11),ISNUMBER(D10),D10&gt;0),D11/D10-1,"")</f>
        <v/>
      </c>
      <c r="N11" s="18"/>
      <c r="O11" s="12" t="str">
        <f aca="false">IF(AND(ISNUMBER(P11),P11&gt;0),N11/P11,"")</f>
        <v/>
      </c>
      <c r="P11" s="18"/>
    </row>
    <row r="12" customFormat="false" ht="15" hidden="false" customHeight="false" outlineLevel="0" collapsed="false">
      <c r="A12" s="25"/>
      <c r="B12" s="18"/>
      <c r="C12" s="18"/>
      <c r="D12" s="18"/>
      <c r="E12" s="18"/>
      <c r="F12" s="18"/>
      <c r="G12" s="18"/>
      <c r="H12" s="18"/>
      <c r="I12" s="10" t="str">
        <f aca="false">IF(AND(ISNUMBER(B12),B12&gt;0),C12/B12,"")</f>
        <v/>
      </c>
      <c r="J12" s="17" t="str">
        <f aca="false">IF(AND(ISNUMBER(C12),C12&gt;0),D12/C12,"")</f>
        <v/>
      </c>
      <c r="K12" s="17" t="str">
        <f aca="false">IF(AND(ISNUMBER(E12),E12&gt;0),G12/E12,"")</f>
        <v/>
      </c>
      <c r="L12" s="17" t="str">
        <f aca="false">IF(AND(ISNUMBER(C12),ISNUMBER(H12)),C12*H12-N(G12),"")</f>
        <v/>
      </c>
      <c r="M12" s="12" t="str">
        <f aca="false">IF(AND(ISNUMBER(D12),ISNUMBER(D11),D11&gt;0),D12/D11-1,"")</f>
        <v/>
      </c>
      <c r="N12" s="18"/>
      <c r="O12" s="12" t="str">
        <f aca="false">IF(AND(ISNUMBER(P12),P12&gt;0),N12/P12,"")</f>
        <v/>
      </c>
      <c r="P12" s="18"/>
    </row>
    <row r="13" customFormat="false" ht="15" hidden="false" customHeight="false" outlineLevel="0" collapsed="false">
      <c r="A13" s="25"/>
      <c r="B13" s="18"/>
      <c r="C13" s="18"/>
      <c r="D13" s="18"/>
      <c r="E13" s="18"/>
      <c r="F13" s="18"/>
      <c r="G13" s="18"/>
      <c r="H13" s="18"/>
      <c r="I13" s="10" t="str">
        <f aca="false">IF(AND(ISNUMBER(B13),B13&gt;0),C13/B13,"")</f>
        <v/>
      </c>
      <c r="J13" s="17" t="str">
        <f aca="false">IF(AND(ISNUMBER(C13),C13&gt;0),D13/C13,"")</f>
        <v/>
      </c>
      <c r="K13" s="17" t="str">
        <f aca="false">IF(AND(ISNUMBER(E13),E13&gt;0),G13/E13,"")</f>
        <v/>
      </c>
      <c r="L13" s="17" t="str">
        <f aca="false">IF(AND(ISNUMBER(C13),ISNUMBER(H13)),C13*H13-N(G13),"")</f>
        <v/>
      </c>
      <c r="M13" s="12" t="str">
        <f aca="false">IF(AND(ISNUMBER(D13),ISNUMBER(D12),D12&gt;0),D13/D12-1,"")</f>
        <v/>
      </c>
      <c r="N13" s="18"/>
      <c r="O13" s="12" t="str">
        <f aca="false">IF(AND(ISNUMBER(P13),P13&gt;0),N13/P13,"")</f>
        <v/>
      </c>
      <c r="P13" s="18"/>
    </row>
    <row r="14" customFormat="false" ht="15" hidden="false" customHeight="false" outlineLevel="0" collapsed="false">
      <c r="A14" s="25"/>
      <c r="B14" s="18"/>
      <c r="C14" s="18"/>
      <c r="D14" s="18"/>
      <c r="E14" s="18"/>
      <c r="F14" s="18"/>
      <c r="G14" s="18"/>
      <c r="H14" s="18"/>
      <c r="I14" s="10" t="str">
        <f aca="false">IF(AND(ISNUMBER(B14),B14&gt;0),C14/B14,"")</f>
        <v/>
      </c>
      <c r="J14" s="17" t="str">
        <f aca="false">IF(AND(ISNUMBER(C14),C14&gt;0),D14/C14,"")</f>
        <v/>
      </c>
      <c r="K14" s="17" t="str">
        <f aca="false">IF(AND(ISNUMBER(E14),E14&gt;0),G14/E14,"")</f>
        <v/>
      </c>
      <c r="L14" s="17" t="str">
        <f aca="false">IF(AND(ISNUMBER(C14),ISNUMBER(H14)),C14*H14-N(G14),"")</f>
        <v/>
      </c>
      <c r="M14" s="12" t="str">
        <f aca="false">IF(AND(ISNUMBER(D14),ISNUMBER(D13),D13&gt;0),D14/D13-1,"")</f>
        <v/>
      </c>
      <c r="N14" s="18"/>
      <c r="O14" s="12" t="str">
        <f aca="false">IF(AND(ISNUMBER(P14),P14&gt;0),N14/P14,"")</f>
        <v/>
      </c>
      <c r="P14" s="18"/>
    </row>
    <row r="15" customFormat="false" ht="15" hidden="false" customHeight="false" outlineLevel="0" collapsed="false">
      <c r="A15" s="25"/>
      <c r="B15" s="18"/>
      <c r="C15" s="18"/>
      <c r="D15" s="18"/>
      <c r="E15" s="18"/>
      <c r="F15" s="18"/>
      <c r="G15" s="18"/>
      <c r="H15" s="18"/>
      <c r="I15" s="10" t="str">
        <f aca="false">IF(AND(ISNUMBER(B15),B15&gt;0),C15/B15,"")</f>
        <v/>
      </c>
      <c r="J15" s="17" t="str">
        <f aca="false">IF(AND(ISNUMBER(C15),C15&gt;0),D15/C15,"")</f>
        <v/>
      </c>
      <c r="K15" s="17" t="str">
        <f aca="false">IF(AND(ISNUMBER(E15),E15&gt;0),G15/E15,"")</f>
        <v/>
      </c>
      <c r="L15" s="17" t="str">
        <f aca="false">IF(AND(ISNUMBER(C15),ISNUMBER(H15)),C15*H15-N(G15),"")</f>
        <v/>
      </c>
      <c r="M15" s="12" t="str">
        <f aca="false">IF(AND(ISNUMBER(D15),ISNUMBER(D14),D14&gt;0),D15/D14-1,"")</f>
        <v/>
      </c>
      <c r="N15" s="18"/>
      <c r="O15" s="12" t="str">
        <f aca="false">IF(AND(ISNUMBER(P15),P15&gt;0),N15/P15,"")</f>
        <v/>
      </c>
      <c r="P15" s="18"/>
    </row>
    <row r="16" customFormat="false" ht="15" hidden="false" customHeight="false" outlineLevel="0" collapsed="false">
      <c r="A16" s="25"/>
      <c r="B16" s="18"/>
      <c r="C16" s="18"/>
      <c r="D16" s="18"/>
      <c r="E16" s="18"/>
      <c r="F16" s="18"/>
      <c r="G16" s="18"/>
      <c r="H16" s="18"/>
      <c r="I16" s="10" t="str">
        <f aca="false">IF(AND(ISNUMBER(B16),B16&gt;0),C16/B16,"")</f>
        <v/>
      </c>
      <c r="J16" s="17" t="str">
        <f aca="false">IF(AND(ISNUMBER(C16),C16&gt;0),D16/C16,"")</f>
        <v/>
      </c>
      <c r="K16" s="17" t="str">
        <f aca="false">IF(AND(ISNUMBER(E16),E16&gt;0),G16/E16,"")</f>
        <v/>
      </c>
      <c r="L16" s="17" t="str">
        <f aca="false">IF(AND(ISNUMBER(C16),ISNUMBER(H16)),C16*H16-N(G16),"")</f>
        <v/>
      </c>
      <c r="M16" s="12" t="str">
        <f aca="false">IF(AND(ISNUMBER(D16),ISNUMBER(D15),D15&gt;0),D16/D15-1,"")</f>
        <v/>
      </c>
      <c r="N16" s="18"/>
      <c r="O16" s="12" t="str">
        <f aca="false">IF(AND(ISNUMBER(P16),P16&gt;0),N16/P16,"")</f>
        <v/>
      </c>
      <c r="P16" s="18"/>
    </row>
    <row r="17" customFormat="false" ht="15" hidden="false" customHeight="false" outlineLevel="0" collapsed="false">
      <c r="A17" s="25"/>
      <c r="B17" s="18"/>
      <c r="C17" s="18"/>
      <c r="D17" s="18"/>
      <c r="E17" s="18"/>
      <c r="F17" s="18"/>
      <c r="G17" s="18"/>
      <c r="H17" s="18"/>
      <c r="I17" s="10" t="str">
        <f aca="false">IF(AND(ISNUMBER(B17),B17&gt;0),C17/B17,"")</f>
        <v/>
      </c>
      <c r="J17" s="17" t="str">
        <f aca="false">IF(AND(ISNUMBER(C17),C17&gt;0),D17/C17,"")</f>
        <v/>
      </c>
      <c r="K17" s="17" t="str">
        <f aca="false">IF(AND(ISNUMBER(E17),E17&gt;0),G17/E17,"")</f>
        <v/>
      </c>
      <c r="L17" s="17" t="str">
        <f aca="false">IF(AND(ISNUMBER(C17),ISNUMBER(H17)),C17*H17-N(G17),"")</f>
        <v/>
      </c>
      <c r="M17" s="12" t="str">
        <f aca="false">IF(AND(ISNUMBER(D17),ISNUMBER(D16),D16&gt;0),D17/D16-1,"")</f>
        <v/>
      </c>
      <c r="N17" s="18"/>
      <c r="O17" s="12" t="str">
        <f aca="false">IF(AND(ISNUMBER(P17),P17&gt;0),N17/P17,"")</f>
        <v/>
      </c>
      <c r="P17" s="18"/>
    </row>
    <row r="18" customFormat="false" ht="15" hidden="false" customHeight="false" outlineLevel="0" collapsed="false">
      <c r="A18" s="25"/>
      <c r="B18" s="18"/>
      <c r="C18" s="18"/>
      <c r="D18" s="18"/>
      <c r="E18" s="18"/>
      <c r="F18" s="18"/>
      <c r="G18" s="18"/>
      <c r="H18" s="18"/>
      <c r="I18" s="10" t="str">
        <f aca="false">IF(AND(ISNUMBER(B18),B18&gt;0),C18/B18,"")</f>
        <v/>
      </c>
      <c r="J18" s="17" t="str">
        <f aca="false">IF(AND(ISNUMBER(C18),C18&gt;0),D18/C18,"")</f>
        <v/>
      </c>
      <c r="K18" s="17" t="str">
        <f aca="false">IF(AND(ISNUMBER(E18),E18&gt;0),G18/E18,"")</f>
        <v/>
      </c>
      <c r="L18" s="17" t="str">
        <f aca="false">IF(AND(ISNUMBER(C18),ISNUMBER(H18)),C18*H18-N(G18),"")</f>
        <v/>
      </c>
      <c r="M18" s="12" t="str">
        <f aca="false">IF(AND(ISNUMBER(D18),ISNUMBER(D17),D17&gt;0),D18/D17-1,"")</f>
        <v/>
      </c>
      <c r="N18" s="18"/>
      <c r="O18" s="12" t="str">
        <f aca="false">IF(AND(ISNUMBER(P18),P18&gt;0),N18/P18,"")</f>
        <v/>
      </c>
      <c r="P18" s="18"/>
    </row>
    <row r="19" customFormat="false" ht="15" hidden="false" customHeight="false" outlineLevel="0" collapsed="false">
      <c r="A19" s="25"/>
      <c r="B19" s="18"/>
      <c r="C19" s="18"/>
      <c r="D19" s="18"/>
      <c r="E19" s="18"/>
      <c r="F19" s="18"/>
      <c r="G19" s="18"/>
      <c r="H19" s="18"/>
      <c r="I19" s="10" t="str">
        <f aca="false">IF(AND(ISNUMBER(B19),B19&gt;0),C19/B19,"")</f>
        <v/>
      </c>
      <c r="J19" s="17" t="str">
        <f aca="false">IF(AND(ISNUMBER(C19),C19&gt;0),D19/C19,"")</f>
        <v/>
      </c>
      <c r="K19" s="17" t="str">
        <f aca="false">IF(AND(ISNUMBER(E19),E19&gt;0),G19/E19,"")</f>
        <v/>
      </c>
      <c r="L19" s="17" t="str">
        <f aca="false">IF(AND(ISNUMBER(C19),ISNUMBER(H19)),C19*H19-N(G19),"")</f>
        <v/>
      </c>
      <c r="M19" s="12" t="str">
        <f aca="false">IF(AND(ISNUMBER(D19),ISNUMBER(D18),D18&gt;0),D19/D18-1,"")</f>
        <v/>
      </c>
      <c r="N19" s="18"/>
      <c r="O19" s="12" t="str">
        <f aca="false">IF(AND(ISNUMBER(P19),P19&gt;0),N19/P19,"")</f>
        <v/>
      </c>
      <c r="P19" s="18"/>
    </row>
    <row r="20" customFormat="false" ht="15" hidden="false" customHeight="false" outlineLevel="0" collapsed="false">
      <c r="A20" s="25"/>
      <c r="B20" s="18"/>
      <c r="C20" s="18"/>
      <c r="D20" s="18"/>
      <c r="E20" s="18"/>
      <c r="F20" s="18"/>
      <c r="G20" s="18"/>
      <c r="H20" s="18"/>
      <c r="I20" s="10" t="str">
        <f aca="false">IF(AND(ISNUMBER(B20),B20&gt;0),C20/B20,"")</f>
        <v/>
      </c>
      <c r="J20" s="17" t="str">
        <f aca="false">IF(AND(ISNUMBER(C20),C20&gt;0),D20/C20,"")</f>
        <v/>
      </c>
      <c r="K20" s="17" t="str">
        <f aca="false">IF(AND(ISNUMBER(E20),E20&gt;0),G20/E20,"")</f>
        <v/>
      </c>
      <c r="L20" s="17" t="str">
        <f aca="false">IF(AND(ISNUMBER(C20),ISNUMBER(H20)),C20*H20-N(G20),"")</f>
        <v/>
      </c>
      <c r="M20" s="12" t="str">
        <f aca="false">IF(AND(ISNUMBER(D20),ISNUMBER(D19),D19&gt;0),D20/D19-1,"")</f>
        <v/>
      </c>
      <c r="N20" s="18"/>
      <c r="O20" s="12" t="str">
        <f aca="false">IF(AND(ISNUMBER(P20),P20&gt;0),N20/P20,"")</f>
        <v/>
      </c>
      <c r="P20" s="18"/>
    </row>
    <row r="21" customFormat="false" ht="15" hidden="false" customHeight="false" outlineLevel="0" collapsed="false">
      <c r="A21" s="25"/>
      <c r="B21" s="18"/>
      <c r="C21" s="18"/>
      <c r="D21" s="18"/>
      <c r="E21" s="18"/>
      <c r="F21" s="18"/>
      <c r="G21" s="18"/>
      <c r="H21" s="18"/>
      <c r="I21" s="10" t="str">
        <f aca="false">IF(AND(ISNUMBER(B21),B21&gt;0),C21/B21,"")</f>
        <v/>
      </c>
      <c r="J21" s="17" t="str">
        <f aca="false">IF(AND(ISNUMBER(C21),C21&gt;0),D21/C21,"")</f>
        <v/>
      </c>
      <c r="K21" s="17" t="str">
        <f aca="false">IF(AND(ISNUMBER(E21),E21&gt;0),G21/E21,"")</f>
        <v/>
      </c>
      <c r="L21" s="17" t="str">
        <f aca="false">IF(AND(ISNUMBER(C21),ISNUMBER(H21)),C21*H21-N(G21),"")</f>
        <v/>
      </c>
      <c r="M21" s="12" t="str">
        <f aca="false">IF(AND(ISNUMBER(D21),ISNUMBER(D20),D20&gt;0),D21/D20-1,"")</f>
        <v/>
      </c>
      <c r="N21" s="18"/>
      <c r="O21" s="12" t="str">
        <f aca="false">IF(AND(ISNUMBER(P21),P21&gt;0),N21/P21,"")</f>
        <v/>
      </c>
      <c r="P21" s="18"/>
    </row>
    <row r="22" customFormat="false" ht="15" hidden="false" customHeight="false" outlineLevel="0" collapsed="false">
      <c r="A22" s="25"/>
      <c r="B22" s="18"/>
      <c r="C22" s="18"/>
      <c r="D22" s="18"/>
      <c r="E22" s="18"/>
      <c r="F22" s="18"/>
      <c r="G22" s="18"/>
      <c r="H22" s="18"/>
      <c r="I22" s="10" t="str">
        <f aca="false">IF(AND(ISNUMBER(B22),B22&gt;0),C22/B22,"")</f>
        <v/>
      </c>
      <c r="J22" s="17" t="str">
        <f aca="false">IF(AND(ISNUMBER(C22),C22&gt;0),D22/C22,"")</f>
        <v/>
      </c>
      <c r="K22" s="17" t="str">
        <f aca="false">IF(AND(ISNUMBER(E22),E22&gt;0),G22/E22,"")</f>
        <v/>
      </c>
      <c r="L22" s="17" t="str">
        <f aca="false">IF(AND(ISNUMBER(C22),ISNUMBER(H22)),C22*H22-N(G22),"")</f>
        <v/>
      </c>
      <c r="M22" s="12" t="str">
        <f aca="false">IF(AND(ISNUMBER(D22),ISNUMBER(D21),D21&gt;0),D22/D21-1,"")</f>
        <v/>
      </c>
      <c r="N22" s="18"/>
      <c r="O22" s="12" t="str">
        <f aca="false">IF(AND(ISNUMBER(P22),P22&gt;0),N22/P22,"")</f>
        <v/>
      </c>
      <c r="P22" s="18"/>
    </row>
    <row r="23" customFormat="false" ht="15" hidden="false" customHeight="false" outlineLevel="0" collapsed="false">
      <c r="A23" s="25"/>
      <c r="B23" s="18"/>
      <c r="C23" s="18"/>
      <c r="D23" s="18"/>
      <c r="E23" s="18"/>
      <c r="F23" s="18"/>
      <c r="G23" s="18"/>
      <c r="H23" s="18"/>
      <c r="I23" s="10" t="str">
        <f aca="false">IF(AND(ISNUMBER(B23),B23&gt;0),C23/B23,"")</f>
        <v/>
      </c>
      <c r="J23" s="17" t="str">
        <f aca="false">IF(AND(ISNUMBER(C23),C23&gt;0),D23/C23,"")</f>
        <v/>
      </c>
      <c r="K23" s="17" t="str">
        <f aca="false">IF(AND(ISNUMBER(E23),E23&gt;0),G23/E23,"")</f>
        <v/>
      </c>
      <c r="L23" s="17" t="str">
        <f aca="false">IF(AND(ISNUMBER(C23),ISNUMBER(H23)),C23*H23-N(G23),"")</f>
        <v/>
      </c>
      <c r="M23" s="12" t="str">
        <f aca="false">IF(AND(ISNUMBER(D23),ISNUMBER(D22),D22&gt;0),D23/D22-1,"")</f>
        <v/>
      </c>
      <c r="N23" s="18"/>
      <c r="O23" s="12" t="str">
        <f aca="false">IF(AND(ISNUMBER(P23),P23&gt;0),N23/P23,"")</f>
        <v/>
      </c>
      <c r="P23" s="18"/>
    </row>
    <row r="24" customFormat="false" ht="15" hidden="false" customHeight="false" outlineLevel="0" collapsed="false">
      <c r="A24" s="25"/>
      <c r="B24" s="18"/>
      <c r="C24" s="18"/>
      <c r="D24" s="18"/>
      <c r="E24" s="18"/>
      <c r="F24" s="18"/>
      <c r="G24" s="18"/>
      <c r="H24" s="18"/>
      <c r="I24" s="10" t="str">
        <f aca="false">IF(AND(ISNUMBER(B24),B24&gt;0),C24/B24,"")</f>
        <v/>
      </c>
      <c r="J24" s="17" t="str">
        <f aca="false">IF(AND(ISNUMBER(C24),C24&gt;0),D24/C24,"")</f>
        <v/>
      </c>
      <c r="K24" s="17" t="str">
        <f aca="false">IF(AND(ISNUMBER(E24),E24&gt;0),G24/E24,"")</f>
        <v/>
      </c>
      <c r="L24" s="17" t="str">
        <f aca="false">IF(AND(ISNUMBER(C24),ISNUMBER(H24)),C24*H24-N(G24),"")</f>
        <v/>
      </c>
      <c r="M24" s="12" t="str">
        <f aca="false">IF(AND(ISNUMBER(D24),ISNUMBER(D23),D23&gt;0),D24/D23-1,"")</f>
        <v/>
      </c>
      <c r="N24" s="18"/>
      <c r="O24" s="12" t="str">
        <f aca="false">IF(AND(ISNUMBER(P24),P24&gt;0),N24/P24,"")</f>
        <v/>
      </c>
      <c r="P24" s="18"/>
    </row>
    <row r="25" customFormat="false" ht="15" hidden="false" customHeight="false" outlineLevel="0" collapsed="false">
      <c r="A25" s="25"/>
      <c r="B25" s="18"/>
      <c r="C25" s="18"/>
      <c r="D25" s="18"/>
      <c r="E25" s="18"/>
      <c r="F25" s="18"/>
      <c r="G25" s="18"/>
      <c r="H25" s="18"/>
      <c r="I25" s="10" t="str">
        <f aca="false">IF(AND(ISNUMBER(B25),B25&gt;0),C25/B25,"")</f>
        <v/>
      </c>
      <c r="J25" s="17" t="str">
        <f aca="false">IF(AND(ISNUMBER(C25),C25&gt;0),D25/C25,"")</f>
        <v/>
      </c>
      <c r="K25" s="17" t="str">
        <f aca="false">IF(AND(ISNUMBER(E25),E25&gt;0),G25/E25,"")</f>
        <v/>
      </c>
      <c r="L25" s="17" t="str">
        <f aca="false">IF(AND(ISNUMBER(C25),ISNUMBER(H25)),C25*H25-N(G25),"")</f>
        <v/>
      </c>
      <c r="M25" s="12" t="str">
        <f aca="false">IF(AND(ISNUMBER(D25),ISNUMBER(D24),D24&gt;0),D25/D24-1,"")</f>
        <v/>
      </c>
      <c r="N25" s="18"/>
      <c r="O25" s="12" t="str">
        <f aca="false">IF(AND(ISNUMBER(P25),P25&gt;0),N25/P25,"")</f>
        <v/>
      </c>
      <c r="P25" s="18"/>
    </row>
    <row r="26" customFormat="false" ht="15" hidden="false" customHeight="false" outlineLevel="0" collapsed="false">
      <c r="A26" s="25"/>
      <c r="B26" s="18"/>
      <c r="C26" s="18"/>
      <c r="D26" s="18"/>
      <c r="E26" s="18"/>
      <c r="F26" s="18"/>
      <c r="G26" s="18"/>
      <c r="H26" s="18"/>
      <c r="I26" s="10" t="str">
        <f aca="false">IF(AND(ISNUMBER(B26),B26&gt;0),C26/B26,"")</f>
        <v/>
      </c>
      <c r="J26" s="17" t="str">
        <f aca="false">IF(AND(ISNUMBER(C26),C26&gt;0),D26/C26,"")</f>
        <v/>
      </c>
      <c r="K26" s="17" t="str">
        <f aca="false">IF(AND(ISNUMBER(E26),E26&gt;0),G26/E26,"")</f>
        <v/>
      </c>
      <c r="L26" s="17" t="str">
        <f aca="false">IF(AND(ISNUMBER(C26),ISNUMBER(H26)),C26*H26-N(G26),"")</f>
        <v/>
      </c>
      <c r="M26" s="12" t="str">
        <f aca="false">IF(AND(ISNUMBER(D26),ISNUMBER(D25),D25&gt;0),D26/D25-1,"")</f>
        <v/>
      </c>
      <c r="N26" s="18"/>
      <c r="O26" s="12" t="str">
        <f aca="false">IF(AND(ISNUMBER(P26),P26&gt;0),N26/P26,"")</f>
        <v/>
      </c>
      <c r="P26" s="18"/>
    </row>
    <row r="27" customFormat="false" ht="15" hidden="false" customHeight="false" outlineLevel="0" collapsed="false">
      <c r="A27" s="25"/>
      <c r="B27" s="18"/>
      <c r="C27" s="18"/>
      <c r="D27" s="18"/>
      <c r="E27" s="18"/>
      <c r="F27" s="18"/>
      <c r="G27" s="18"/>
      <c r="H27" s="18"/>
      <c r="I27" s="10" t="str">
        <f aca="false">IF(AND(ISNUMBER(B27),B27&gt;0),C27/B27,"")</f>
        <v/>
      </c>
      <c r="J27" s="17" t="str">
        <f aca="false">IF(AND(ISNUMBER(C27),C27&gt;0),D27/C27,"")</f>
        <v/>
      </c>
      <c r="K27" s="17" t="str">
        <f aca="false">IF(AND(ISNUMBER(E27),E27&gt;0),G27/E27,"")</f>
        <v/>
      </c>
      <c r="L27" s="17" t="str">
        <f aca="false">IF(AND(ISNUMBER(C27),ISNUMBER(H27)),C27*H27-N(G27),"")</f>
        <v/>
      </c>
      <c r="M27" s="12" t="str">
        <f aca="false">IF(AND(ISNUMBER(D27),ISNUMBER(D26),D26&gt;0),D27/D26-1,"")</f>
        <v/>
      </c>
      <c r="N27" s="18"/>
      <c r="O27" s="12" t="str">
        <f aca="false">IF(AND(ISNUMBER(P27),P27&gt;0),N27/P27,"")</f>
        <v/>
      </c>
      <c r="P27" s="18"/>
    </row>
    <row r="28" customFormat="false" ht="15" hidden="false" customHeight="false" outlineLevel="0" collapsed="false">
      <c r="A28" s="25"/>
      <c r="B28" s="18"/>
      <c r="C28" s="18"/>
      <c r="D28" s="18"/>
      <c r="E28" s="18"/>
      <c r="F28" s="18"/>
      <c r="G28" s="18"/>
      <c r="H28" s="18"/>
      <c r="I28" s="10" t="str">
        <f aca="false">IF(AND(ISNUMBER(B28),B28&gt;0),C28/B28,"")</f>
        <v/>
      </c>
      <c r="J28" s="17" t="str">
        <f aca="false">IF(AND(ISNUMBER(C28),C28&gt;0),D28/C28,"")</f>
        <v/>
      </c>
      <c r="K28" s="17" t="str">
        <f aca="false">IF(AND(ISNUMBER(E28),E28&gt;0),G28/E28,"")</f>
        <v/>
      </c>
      <c r="L28" s="17" t="str">
        <f aca="false">IF(AND(ISNUMBER(C28),ISNUMBER(H28)),C28*H28-N(G28),"")</f>
        <v/>
      </c>
      <c r="M28" s="12" t="str">
        <f aca="false">IF(AND(ISNUMBER(D28),ISNUMBER(D27),D27&gt;0),D28/D27-1,"")</f>
        <v/>
      </c>
      <c r="N28" s="18"/>
      <c r="O28" s="12" t="str">
        <f aca="false">IF(AND(ISNUMBER(P28),P28&gt;0),N28/P28,"")</f>
        <v/>
      </c>
      <c r="P28" s="18"/>
    </row>
    <row r="29" customFormat="false" ht="15" hidden="false" customHeight="false" outlineLevel="0" collapsed="false">
      <c r="A29" s="25"/>
      <c r="B29" s="18"/>
      <c r="C29" s="18"/>
      <c r="D29" s="18"/>
      <c r="E29" s="18"/>
      <c r="F29" s="18"/>
      <c r="G29" s="18"/>
      <c r="H29" s="18"/>
      <c r="I29" s="10" t="str">
        <f aca="false">IF(AND(ISNUMBER(B29),B29&gt;0),C29/B29,"")</f>
        <v/>
      </c>
      <c r="J29" s="17" t="str">
        <f aca="false">IF(AND(ISNUMBER(C29),C29&gt;0),D29/C29,"")</f>
        <v/>
      </c>
      <c r="K29" s="17" t="str">
        <f aca="false">IF(AND(ISNUMBER(E29),E29&gt;0),G29/E29,"")</f>
        <v/>
      </c>
      <c r="L29" s="17" t="str">
        <f aca="false">IF(AND(ISNUMBER(C29),ISNUMBER(H29)),C29*H29-N(G29),"")</f>
        <v/>
      </c>
      <c r="M29" s="12" t="str">
        <f aca="false">IF(AND(ISNUMBER(D29),ISNUMBER(D28),D28&gt;0),D29/D28-1,"")</f>
        <v/>
      </c>
      <c r="N29" s="18"/>
      <c r="O29" s="12" t="str">
        <f aca="false">IF(AND(ISNUMBER(P29),P29&gt;0),N29/P29,"")</f>
        <v/>
      </c>
      <c r="P29" s="18"/>
    </row>
    <row r="30" customFormat="false" ht="15" hidden="false" customHeight="false" outlineLevel="0" collapsed="false">
      <c r="A30" s="25"/>
      <c r="B30" s="18"/>
      <c r="C30" s="18"/>
      <c r="D30" s="18"/>
      <c r="E30" s="18"/>
      <c r="F30" s="18"/>
      <c r="G30" s="18"/>
      <c r="H30" s="18"/>
      <c r="I30" s="10" t="str">
        <f aca="false">IF(AND(ISNUMBER(B30),B30&gt;0),C30/B30,"")</f>
        <v/>
      </c>
      <c r="J30" s="17" t="str">
        <f aca="false">IF(AND(ISNUMBER(C30),C30&gt;0),D30/C30,"")</f>
        <v/>
      </c>
      <c r="K30" s="17" t="str">
        <f aca="false">IF(AND(ISNUMBER(E30),E30&gt;0),G30/E30,"")</f>
        <v/>
      </c>
      <c r="L30" s="17" t="str">
        <f aca="false">IF(AND(ISNUMBER(C30),ISNUMBER(H30)),C30*H30-N(G30),"")</f>
        <v/>
      </c>
      <c r="M30" s="12" t="str">
        <f aca="false">IF(AND(ISNUMBER(D30),ISNUMBER(D29),D29&gt;0),D30/D29-1,"")</f>
        <v/>
      </c>
      <c r="N30" s="18"/>
      <c r="O30" s="12" t="str">
        <f aca="false">IF(AND(ISNUMBER(P30),P30&gt;0),N30/P30,"")</f>
        <v/>
      </c>
      <c r="P30" s="18"/>
    </row>
  </sheetData>
  <conditionalFormatting sqref="O5:O30">
    <cfRule type="cellIs" priority="2" operator="greaterThanOrEqual" aboveAverage="0" equalAverage="0" bottom="0" percent="0" rank="0" text="" dxfId="0">
      <formula>0.1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56"/>
    <col collapsed="false" customWidth="true" hidden="false" outlineLevel="0" max="6" min="4" style="0" width="6"/>
    <col collapsed="false" customWidth="true" hidden="false" outlineLevel="0" max="7" min="7" style="0" width="8"/>
    <col collapsed="false" customWidth="true" hidden="false" outlineLevel="0" max="8" min="8" style="0" width="9"/>
    <col collapsed="false" customWidth="true" hidden="false" outlineLevel="0" max="9" min="9" style="0" width="14"/>
    <col collapsed="false" customWidth="true" hidden="false" outlineLevel="0" max="10" min="10" style="0" width="30"/>
  </cols>
  <sheetData>
    <row r="1" customFormat="false" ht="17.35" hidden="false" customHeight="false" outlineLevel="0" collapsed="false">
      <c r="A1" s="5" t="s">
        <v>27</v>
      </c>
    </row>
    <row r="2" customFormat="false" ht="15" hidden="false" customHeight="false" outlineLevel="0" collapsed="false">
      <c r="A2" s="6" t="s">
        <v>376</v>
      </c>
    </row>
    <row r="4" customFormat="false" ht="15" hidden="false" customHeight="false" outlineLevel="0" collapsed="false">
      <c r="A4" s="7" t="s">
        <v>57</v>
      </c>
      <c r="B4" s="7" t="s">
        <v>348</v>
      </c>
      <c r="C4" s="7" t="s">
        <v>31</v>
      </c>
      <c r="D4" s="7" t="s">
        <v>377</v>
      </c>
      <c r="E4" s="7" t="s">
        <v>378</v>
      </c>
      <c r="F4" s="7" t="s">
        <v>379</v>
      </c>
      <c r="G4" s="7" t="s">
        <v>380</v>
      </c>
      <c r="H4" s="7" t="s">
        <v>208</v>
      </c>
      <c r="I4" s="7" t="s">
        <v>381</v>
      </c>
      <c r="J4" s="7" t="s">
        <v>382</v>
      </c>
    </row>
    <row r="5" customFormat="false" ht="15" hidden="false" customHeight="false" outlineLevel="0" collapsed="false">
      <c r="A5" s="8" t="n">
        <v>1</v>
      </c>
      <c r="B5" s="8" t="s">
        <v>383</v>
      </c>
      <c r="C5" s="8" t="s">
        <v>384</v>
      </c>
      <c r="D5" s="9" t="n">
        <v>8</v>
      </c>
      <c r="E5" s="9" t="n">
        <v>7</v>
      </c>
      <c r="F5" s="9" t="n">
        <v>8</v>
      </c>
      <c r="G5" s="26" t="n">
        <f aca="false">D5*E5*F5/100</f>
        <v>4.48</v>
      </c>
      <c r="H5" s="8" t="n">
        <f aca="false">RANK(G5,$G$5:$G$34)</f>
        <v>1</v>
      </c>
      <c r="I5" s="9" t="s">
        <v>385</v>
      </c>
      <c r="J5" s="9"/>
    </row>
    <row r="6" customFormat="false" ht="15" hidden="false" customHeight="false" outlineLevel="0" collapsed="false">
      <c r="A6" s="8" t="n">
        <v>2</v>
      </c>
      <c r="B6" s="8" t="s">
        <v>383</v>
      </c>
      <c r="C6" s="8" t="s">
        <v>386</v>
      </c>
      <c r="D6" s="9" t="n">
        <v>8</v>
      </c>
      <c r="E6" s="9" t="n">
        <v>6</v>
      </c>
      <c r="F6" s="9" t="n">
        <v>6</v>
      </c>
      <c r="G6" s="26" t="n">
        <f aca="false">D6*E6*F6/100</f>
        <v>2.88</v>
      </c>
      <c r="H6" s="8" t="n">
        <f aca="false">RANK(G6,$G$5:$G$34)</f>
        <v>17</v>
      </c>
      <c r="I6" s="9" t="s">
        <v>385</v>
      </c>
      <c r="J6" s="9"/>
    </row>
    <row r="7" customFormat="false" ht="15" hidden="false" customHeight="false" outlineLevel="0" collapsed="false">
      <c r="A7" s="8" t="n">
        <v>3</v>
      </c>
      <c r="B7" s="8" t="s">
        <v>383</v>
      </c>
      <c r="C7" s="8" t="s">
        <v>387</v>
      </c>
      <c r="D7" s="9" t="n">
        <v>6</v>
      </c>
      <c r="E7" s="9" t="n">
        <v>6</v>
      </c>
      <c r="F7" s="9" t="n">
        <v>9</v>
      </c>
      <c r="G7" s="26" t="n">
        <f aca="false">D7*E7*F7/100</f>
        <v>3.24</v>
      </c>
      <c r="H7" s="8" t="n">
        <f aca="false">RANK(G7,$G$5:$G$34)</f>
        <v>11</v>
      </c>
      <c r="I7" s="9" t="s">
        <v>385</v>
      </c>
      <c r="J7" s="9"/>
    </row>
    <row r="8" customFormat="false" ht="15" hidden="false" customHeight="false" outlineLevel="0" collapsed="false">
      <c r="A8" s="8" t="n">
        <v>4</v>
      </c>
      <c r="B8" s="8" t="s">
        <v>388</v>
      </c>
      <c r="C8" s="8" t="s">
        <v>389</v>
      </c>
      <c r="D8" s="9" t="n">
        <v>7</v>
      </c>
      <c r="E8" s="9" t="n">
        <v>6</v>
      </c>
      <c r="F8" s="9" t="n">
        <v>8</v>
      </c>
      <c r="G8" s="26" t="n">
        <f aca="false">D8*E8*F8/100</f>
        <v>3.36</v>
      </c>
      <c r="H8" s="8" t="n">
        <f aca="false">RANK(G8,$G$5:$G$34)</f>
        <v>6</v>
      </c>
      <c r="I8" s="9" t="s">
        <v>385</v>
      </c>
      <c r="J8" s="9"/>
    </row>
    <row r="9" customFormat="false" ht="15" hidden="false" customHeight="false" outlineLevel="0" collapsed="false">
      <c r="A9" s="8" t="n">
        <v>5</v>
      </c>
      <c r="B9" s="8" t="s">
        <v>388</v>
      </c>
      <c r="C9" s="8" t="s">
        <v>390</v>
      </c>
      <c r="D9" s="9" t="n">
        <v>6</v>
      </c>
      <c r="E9" s="9" t="n">
        <v>5</v>
      </c>
      <c r="F9" s="9" t="n">
        <v>8</v>
      </c>
      <c r="G9" s="26" t="n">
        <f aca="false">D9*E9*F9/100</f>
        <v>2.4</v>
      </c>
      <c r="H9" s="8" t="n">
        <f aca="false">RANK(G9,$G$5:$G$34)</f>
        <v>26</v>
      </c>
      <c r="I9" s="9" t="s">
        <v>385</v>
      </c>
      <c r="J9" s="9"/>
    </row>
    <row r="10" customFormat="false" ht="15" hidden="false" customHeight="false" outlineLevel="0" collapsed="false">
      <c r="A10" s="8" t="n">
        <v>6</v>
      </c>
      <c r="B10" s="8" t="s">
        <v>388</v>
      </c>
      <c r="C10" s="8" t="s">
        <v>391</v>
      </c>
      <c r="D10" s="9" t="n">
        <v>7</v>
      </c>
      <c r="E10" s="9" t="n">
        <v>5</v>
      </c>
      <c r="F10" s="9" t="n">
        <v>7</v>
      </c>
      <c r="G10" s="26" t="n">
        <f aca="false">D10*E10*F10/100</f>
        <v>2.45</v>
      </c>
      <c r="H10" s="8" t="n">
        <f aca="false">RANK(G10,$G$5:$G$34)</f>
        <v>24</v>
      </c>
      <c r="I10" s="9" t="s">
        <v>385</v>
      </c>
      <c r="J10" s="9"/>
    </row>
    <row r="11" customFormat="false" ht="15" hidden="false" customHeight="false" outlineLevel="0" collapsed="false">
      <c r="A11" s="8" t="n">
        <v>7</v>
      </c>
      <c r="B11" s="8" t="s">
        <v>392</v>
      </c>
      <c r="C11" s="8" t="s">
        <v>393</v>
      </c>
      <c r="D11" s="9" t="n">
        <v>8</v>
      </c>
      <c r="E11" s="9" t="n">
        <v>6</v>
      </c>
      <c r="F11" s="9" t="n">
        <v>8</v>
      </c>
      <c r="G11" s="26" t="n">
        <f aca="false">D11*E11*F11/100</f>
        <v>3.84</v>
      </c>
      <c r="H11" s="8" t="n">
        <f aca="false">RANK(G11,$G$5:$G$34)</f>
        <v>2</v>
      </c>
      <c r="I11" s="9" t="s">
        <v>385</v>
      </c>
      <c r="J11" s="9"/>
    </row>
    <row r="12" customFormat="false" ht="15" hidden="false" customHeight="false" outlineLevel="0" collapsed="false">
      <c r="A12" s="8" t="n">
        <v>8</v>
      </c>
      <c r="B12" s="8" t="s">
        <v>392</v>
      </c>
      <c r="C12" s="8" t="s">
        <v>394</v>
      </c>
      <c r="D12" s="9" t="n">
        <v>6</v>
      </c>
      <c r="E12" s="9" t="n">
        <v>6</v>
      </c>
      <c r="F12" s="9" t="n">
        <v>8</v>
      </c>
      <c r="G12" s="26" t="n">
        <f aca="false">D12*E12*F12/100</f>
        <v>2.88</v>
      </c>
      <c r="H12" s="8" t="n">
        <f aca="false">RANK(G12,$G$5:$G$34)</f>
        <v>17</v>
      </c>
      <c r="I12" s="9" t="s">
        <v>385</v>
      </c>
      <c r="J12" s="9"/>
    </row>
    <row r="13" customFormat="false" ht="15" hidden="false" customHeight="false" outlineLevel="0" collapsed="false">
      <c r="A13" s="8" t="n">
        <v>9</v>
      </c>
      <c r="B13" s="8" t="s">
        <v>392</v>
      </c>
      <c r="C13" s="8" t="s">
        <v>395</v>
      </c>
      <c r="D13" s="9" t="n">
        <v>7</v>
      </c>
      <c r="E13" s="9" t="n">
        <v>5</v>
      </c>
      <c r="F13" s="9" t="n">
        <v>7</v>
      </c>
      <c r="G13" s="26" t="n">
        <f aca="false">D13*E13*F13/100</f>
        <v>2.45</v>
      </c>
      <c r="H13" s="8" t="n">
        <f aca="false">RANK(G13,$G$5:$G$34)</f>
        <v>24</v>
      </c>
      <c r="I13" s="9" t="s">
        <v>385</v>
      </c>
      <c r="J13" s="9"/>
    </row>
    <row r="14" customFormat="false" ht="15" hidden="false" customHeight="false" outlineLevel="0" collapsed="false">
      <c r="A14" s="8" t="n">
        <v>10</v>
      </c>
      <c r="B14" s="8" t="s">
        <v>396</v>
      </c>
      <c r="C14" s="8" t="s">
        <v>397</v>
      </c>
      <c r="D14" s="9" t="n">
        <v>7</v>
      </c>
      <c r="E14" s="9" t="n">
        <v>6</v>
      </c>
      <c r="F14" s="9" t="n">
        <v>9</v>
      </c>
      <c r="G14" s="26" t="n">
        <f aca="false">D14*E14*F14/100</f>
        <v>3.78</v>
      </c>
      <c r="H14" s="8" t="n">
        <f aca="false">RANK(G14,$G$5:$G$34)</f>
        <v>3</v>
      </c>
      <c r="I14" s="9" t="s">
        <v>385</v>
      </c>
      <c r="J14" s="9"/>
    </row>
    <row r="15" customFormat="false" ht="15" hidden="false" customHeight="false" outlineLevel="0" collapsed="false">
      <c r="A15" s="8" t="n">
        <v>11</v>
      </c>
      <c r="B15" s="8" t="s">
        <v>396</v>
      </c>
      <c r="C15" s="8" t="s">
        <v>398</v>
      </c>
      <c r="D15" s="9" t="n">
        <v>6</v>
      </c>
      <c r="E15" s="9" t="n">
        <v>5</v>
      </c>
      <c r="F15" s="9" t="n">
        <v>8</v>
      </c>
      <c r="G15" s="26" t="n">
        <f aca="false">D15*E15*F15/100</f>
        <v>2.4</v>
      </c>
      <c r="H15" s="8" t="n">
        <f aca="false">RANK(G15,$G$5:$G$34)</f>
        <v>26</v>
      </c>
      <c r="I15" s="9" t="s">
        <v>385</v>
      </c>
      <c r="J15" s="9"/>
    </row>
    <row r="16" customFormat="false" ht="15" hidden="false" customHeight="false" outlineLevel="0" collapsed="false">
      <c r="A16" s="8" t="n">
        <v>12</v>
      </c>
      <c r="B16" s="8" t="s">
        <v>396</v>
      </c>
      <c r="C16" s="8" t="s">
        <v>399</v>
      </c>
      <c r="D16" s="9" t="n">
        <v>6</v>
      </c>
      <c r="E16" s="9" t="n">
        <v>6</v>
      </c>
      <c r="F16" s="9" t="n">
        <v>9</v>
      </c>
      <c r="G16" s="26" t="n">
        <f aca="false">D16*E16*F16/100</f>
        <v>3.24</v>
      </c>
      <c r="H16" s="8" t="n">
        <f aca="false">RANK(G16,$G$5:$G$34)</f>
        <v>11</v>
      </c>
      <c r="I16" s="9" t="s">
        <v>385</v>
      </c>
      <c r="J16" s="9"/>
    </row>
    <row r="17" customFormat="false" ht="15" hidden="false" customHeight="false" outlineLevel="0" collapsed="false">
      <c r="A17" s="8" t="n">
        <v>13</v>
      </c>
      <c r="B17" s="8" t="s">
        <v>396</v>
      </c>
      <c r="C17" s="8" t="s">
        <v>400</v>
      </c>
      <c r="D17" s="9" t="n">
        <v>5</v>
      </c>
      <c r="E17" s="9" t="n">
        <v>6</v>
      </c>
      <c r="F17" s="9" t="n">
        <v>9</v>
      </c>
      <c r="G17" s="26" t="n">
        <f aca="false">D17*E17*F17/100</f>
        <v>2.7</v>
      </c>
      <c r="H17" s="8" t="n">
        <f aca="false">RANK(G17,$G$5:$G$34)</f>
        <v>20</v>
      </c>
      <c r="I17" s="9" t="s">
        <v>385</v>
      </c>
      <c r="J17" s="9"/>
    </row>
    <row r="18" customFormat="false" ht="15" hidden="false" customHeight="false" outlineLevel="0" collapsed="false">
      <c r="A18" s="8" t="n">
        <v>14</v>
      </c>
      <c r="B18" s="8" t="s">
        <v>396</v>
      </c>
      <c r="C18" s="8" t="s">
        <v>401</v>
      </c>
      <c r="D18" s="9" t="n">
        <v>6</v>
      </c>
      <c r="E18" s="9" t="n">
        <v>5</v>
      </c>
      <c r="F18" s="9" t="n">
        <v>9</v>
      </c>
      <c r="G18" s="26" t="n">
        <f aca="false">D18*E18*F18/100</f>
        <v>2.7</v>
      </c>
      <c r="H18" s="8" t="n">
        <f aca="false">RANK(G18,$G$5:$G$34)</f>
        <v>20</v>
      </c>
      <c r="I18" s="9" t="s">
        <v>385</v>
      </c>
      <c r="J18" s="9"/>
    </row>
    <row r="19" customFormat="false" ht="15" hidden="false" customHeight="false" outlineLevel="0" collapsed="false">
      <c r="A19" s="8" t="n">
        <v>15</v>
      </c>
      <c r="B19" s="8" t="s">
        <v>402</v>
      </c>
      <c r="C19" s="8" t="s">
        <v>403</v>
      </c>
      <c r="D19" s="9" t="n">
        <v>7</v>
      </c>
      <c r="E19" s="9" t="n">
        <v>6</v>
      </c>
      <c r="F19" s="9" t="n">
        <v>8</v>
      </c>
      <c r="G19" s="26" t="n">
        <f aca="false">D19*E19*F19/100</f>
        <v>3.36</v>
      </c>
      <c r="H19" s="8" t="n">
        <f aca="false">RANK(G19,$G$5:$G$34)</f>
        <v>6</v>
      </c>
      <c r="I19" s="9" t="s">
        <v>385</v>
      </c>
      <c r="J19" s="9"/>
    </row>
    <row r="20" customFormat="false" ht="15" hidden="false" customHeight="false" outlineLevel="0" collapsed="false">
      <c r="A20" s="8" t="n">
        <v>16</v>
      </c>
      <c r="B20" s="8" t="s">
        <v>402</v>
      </c>
      <c r="C20" s="8" t="s">
        <v>404</v>
      </c>
      <c r="D20" s="9" t="n">
        <v>7</v>
      </c>
      <c r="E20" s="9" t="n">
        <v>6</v>
      </c>
      <c r="F20" s="9" t="n">
        <v>7</v>
      </c>
      <c r="G20" s="26" t="n">
        <f aca="false">D20*E20*F20/100</f>
        <v>2.94</v>
      </c>
      <c r="H20" s="8" t="n">
        <f aca="false">RANK(G20,$G$5:$G$34)</f>
        <v>16</v>
      </c>
      <c r="I20" s="9" t="s">
        <v>385</v>
      </c>
      <c r="J20" s="9"/>
    </row>
    <row r="21" customFormat="false" ht="15" hidden="false" customHeight="false" outlineLevel="0" collapsed="false">
      <c r="A21" s="8" t="n">
        <v>17</v>
      </c>
      <c r="B21" s="8" t="s">
        <v>402</v>
      </c>
      <c r="C21" s="8" t="s">
        <v>405</v>
      </c>
      <c r="D21" s="9" t="n">
        <v>5</v>
      </c>
      <c r="E21" s="9" t="n">
        <v>6</v>
      </c>
      <c r="F21" s="9" t="n">
        <v>9</v>
      </c>
      <c r="G21" s="26" t="n">
        <f aca="false">D21*E21*F21/100</f>
        <v>2.7</v>
      </c>
      <c r="H21" s="8" t="n">
        <f aca="false">RANK(G21,$G$5:$G$34)</f>
        <v>20</v>
      </c>
      <c r="I21" s="9" t="s">
        <v>385</v>
      </c>
      <c r="J21" s="9"/>
    </row>
    <row r="22" customFormat="false" ht="15" hidden="false" customHeight="false" outlineLevel="0" collapsed="false">
      <c r="A22" s="8" t="n">
        <v>18</v>
      </c>
      <c r="B22" s="8" t="s">
        <v>402</v>
      </c>
      <c r="C22" s="8" t="s">
        <v>406</v>
      </c>
      <c r="D22" s="9" t="n">
        <v>6</v>
      </c>
      <c r="E22" s="9" t="n">
        <v>6</v>
      </c>
      <c r="F22" s="9" t="n">
        <v>9</v>
      </c>
      <c r="G22" s="26" t="n">
        <f aca="false">D22*E22*F22/100</f>
        <v>3.24</v>
      </c>
      <c r="H22" s="8" t="n">
        <f aca="false">RANK(G22,$G$5:$G$34)</f>
        <v>11</v>
      </c>
      <c r="I22" s="9" t="s">
        <v>385</v>
      </c>
      <c r="J22" s="9"/>
    </row>
    <row r="23" customFormat="false" ht="15" hidden="false" customHeight="false" outlineLevel="0" collapsed="false">
      <c r="A23" s="8" t="n">
        <v>19</v>
      </c>
      <c r="B23" s="8" t="s">
        <v>407</v>
      </c>
      <c r="C23" s="8" t="s">
        <v>408</v>
      </c>
      <c r="D23" s="9" t="n">
        <v>7</v>
      </c>
      <c r="E23" s="9" t="n">
        <v>6</v>
      </c>
      <c r="F23" s="9" t="n">
        <v>9</v>
      </c>
      <c r="G23" s="26" t="n">
        <f aca="false">D23*E23*F23/100</f>
        <v>3.78</v>
      </c>
      <c r="H23" s="8" t="n">
        <f aca="false">RANK(G23,$G$5:$G$34)</f>
        <v>3</v>
      </c>
      <c r="I23" s="9" t="s">
        <v>385</v>
      </c>
      <c r="J23" s="9"/>
    </row>
    <row r="24" customFormat="false" ht="15" hidden="false" customHeight="false" outlineLevel="0" collapsed="false">
      <c r="A24" s="8" t="n">
        <v>20</v>
      </c>
      <c r="B24" s="8" t="s">
        <v>407</v>
      </c>
      <c r="C24" s="8" t="s">
        <v>409</v>
      </c>
      <c r="D24" s="9" t="n">
        <v>6</v>
      </c>
      <c r="E24" s="9" t="n">
        <v>6</v>
      </c>
      <c r="F24" s="9" t="n">
        <v>9</v>
      </c>
      <c r="G24" s="26" t="n">
        <f aca="false">D24*E24*F24/100</f>
        <v>3.24</v>
      </c>
      <c r="H24" s="8" t="n">
        <f aca="false">RANK(G24,$G$5:$G$34)</f>
        <v>11</v>
      </c>
      <c r="I24" s="9" t="s">
        <v>385</v>
      </c>
      <c r="J24" s="9"/>
    </row>
    <row r="25" customFormat="false" ht="15" hidden="false" customHeight="false" outlineLevel="0" collapsed="false">
      <c r="A25" s="8" t="n">
        <v>21</v>
      </c>
      <c r="B25" s="8" t="s">
        <v>407</v>
      </c>
      <c r="C25" s="8" t="s">
        <v>410</v>
      </c>
      <c r="D25" s="9" t="n">
        <v>6</v>
      </c>
      <c r="E25" s="9" t="n">
        <v>5</v>
      </c>
      <c r="F25" s="9" t="n">
        <v>9</v>
      </c>
      <c r="G25" s="26" t="n">
        <f aca="false">D25*E25*F25/100</f>
        <v>2.7</v>
      </c>
      <c r="H25" s="8" t="n">
        <f aca="false">RANK(G25,$G$5:$G$34)</f>
        <v>20</v>
      </c>
      <c r="I25" s="9" t="s">
        <v>385</v>
      </c>
      <c r="J25" s="9"/>
    </row>
    <row r="26" customFormat="false" ht="15" hidden="false" customHeight="false" outlineLevel="0" collapsed="false">
      <c r="A26" s="8" t="n">
        <v>22</v>
      </c>
      <c r="B26" s="8" t="s">
        <v>407</v>
      </c>
      <c r="C26" s="8" t="s">
        <v>411</v>
      </c>
      <c r="D26" s="9" t="n">
        <v>7</v>
      </c>
      <c r="E26" s="9" t="n">
        <v>6</v>
      </c>
      <c r="F26" s="9" t="n">
        <v>8</v>
      </c>
      <c r="G26" s="26" t="n">
        <f aca="false">D26*E26*F26/100</f>
        <v>3.36</v>
      </c>
      <c r="H26" s="8" t="n">
        <f aca="false">RANK(G26,$G$5:$G$34)</f>
        <v>6</v>
      </c>
      <c r="I26" s="9" t="s">
        <v>385</v>
      </c>
      <c r="J26" s="9"/>
    </row>
    <row r="27" customFormat="false" ht="15" hidden="false" customHeight="false" outlineLevel="0" collapsed="false">
      <c r="A27" s="8" t="n">
        <v>23</v>
      </c>
      <c r="B27" s="8" t="s">
        <v>412</v>
      </c>
      <c r="C27" s="8" t="s">
        <v>413</v>
      </c>
      <c r="D27" s="9" t="n">
        <v>8</v>
      </c>
      <c r="E27" s="9" t="n">
        <v>6</v>
      </c>
      <c r="F27" s="9" t="n">
        <v>6</v>
      </c>
      <c r="G27" s="26" t="n">
        <f aca="false">D27*E27*F27/100</f>
        <v>2.88</v>
      </c>
      <c r="H27" s="8" t="n">
        <f aca="false">RANK(G27,$G$5:$G$34)</f>
        <v>17</v>
      </c>
      <c r="I27" s="9" t="s">
        <v>385</v>
      </c>
      <c r="J27" s="9"/>
    </row>
    <row r="28" customFormat="false" ht="15" hidden="false" customHeight="false" outlineLevel="0" collapsed="false">
      <c r="A28" s="8" t="n">
        <v>24</v>
      </c>
      <c r="B28" s="8" t="s">
        <v>412</v>
      </c>
      <c r="C28" s="8" t="s">
        <v>414</v>
      </c>
      <c r="D28" s="9" t="n">
        <v>6</v>
      </c>
      <c r="E28" s="9" t="n">
        <v>7</v>
      </c>
      <c r="F28" s="9" t="n">
        <v>9</v>
      </c>
      <c r="G28" s="26" t="n">
        <f aca="false">D28*E28*F28/100</f>
        <v>3.78</v>
      </c>
      <c r="H28" s="8" t="n">
        <f aca="false">RANK(G28,$G$5:$G$34)</f>
        <v>3</v>
      </c>
      <c r="I28" s="9" t="s">
        <v>385</v>
      </c>
      <c r="J28" s="9"/>
    </row>
    <row r="29" customFormat="false" ht="15" hidden="false" customHeight="false" outlineLevel="0" collapsed="false">
      <c r="A29" s="8" t="n">
        <v>25</v>
      </c>
      <c r="B29" s="8" t="s">
        <v>412</v>
      </c>
      <c r="C29" s="8" t="s">
        <v>415</v>
      </c>
      <c r="D29" s="9" t="n">
        <v>6</v>
      </c>
      <c r="E29" s="9" t="n">
        <v>7</v>
      </c>
      <c r="F29" s="9" t="n">
        <v>8</v>
      </c>
      <c r="G29" s="26" t="n">
        <f aca="false">D29*E29*F29/100</f>
        <v>3.36</v>
      </c>
      <c r="H29" s="8" t="n">
        <f aca="false">RANK(G29,$G$5:$G$34)</f>
        <v>6</v>
      </c>
      <c r="I29" s="9" t="s">
        <v>385</v>
      </c>
      <c r="J29" s="9"/>
    </row>
    <row r="30" customFormat="false" ht="15" hidden="false" customHeight="false" outlineLevel="0" collapsed="false">
      <c r="A30" s="8" t="n">
        <v>26</v>
      </c>
      <c r="B30" s="8" t="s">
        <v>416</v>
      </c>
      <c r="C30" s="8" t="s">
        <v>417</v>
      </c>
      <c r="D30" s="9" t="n">
        <v>6</v>
      </c>
      <c r="E30" s="9" t="n">
        <v>5</v>
      </c>
      <c r="F30" s="9" t="n">
        <v>7</v>
      </c>
      <c r="G30" s="26" t="n">
        <f aca="false">D30*E30*F30/100</f>
        <v>2.1</v>
      </c>
      <c r="H30" s="8" t="n">
        <f aca="false">RANK(G30,$G$5:$G$34)</f>
        <v>28</v>
      </c>
      <c r="I30" s="9" t="s">
        <v>385</v>
      </c>
      <c r="J30" s="9"/>
    </row>
    <row r="31" customFormat="false" ht="15" hidden="false" customHeight="false" outlineLevel="0" collapsed="false">
      <c r="A31" s="8" t="n">
        <v>27</v>
      </c>
      <c r="B31" s="8" t="s">
        <v>416</v>
      </c>
      <c r="C31" s="8" t="s">
        <v>418</v>
      </c>
      <c r="D31" s="9" t="n">
        <v>6</v>
      </c>
      <c r="E31" s="9" t="n">
        <v>5</v>
      </c>
      <c r="F31" s="9" t="n">
        <v>6</v>
      </c>
      <c r="G31" s="26" t="n">
        <f aca="false">D31*E31*F31/100</f>
        <v>1.8</v>
      </c>
      <c r="H31" s="8" t="n">
        <f aca="false">RANK(G31,$G$5:$G$34)</f>
        <v>30</v>
      </c>
      <c r="I31" s="9" t="s">
        <v>385</v>
      </c>
      <c r="J31" s="9"/>
    </row>
    <row r="32" customFormat="false" ht="15" hidden="false" customHeight="false" outlineLevel="0" collapsed="false">
      <c r="A32" s="8" t="n">
        <v>28</v>
      </c>
      <c r="B32" s="8" t="s">
        <v>130</v>
      </c>
      <c r="C32" s="8" t="s">
        <v>419</v>
      </c>
      <c r="D32" s="9" t="n">
        <v>7</v>
      </c>
      <c r="E32" s="9" t="n">
        <v>6</v>
      </c>
      <c r="F32" s="9" t="n">
        <v>8</v>
      </c>
      <c r="G32" s="26" t="n">
        <f aca="false">D32*E32*F32/100</f>
        <v>3.36</v>
      </c>
      <c r="H32" s="8" t="n">
        <f aca="false">RANK(G32,$G$5:$G$34)</f>
        <v>6</v>
      </c>
      <c r="I32" s="9" t="s">
        <v>385</v>
      </c>
      <c r="J32" s="9"/>
    </row>
    <row r="33" customFormat="false" ht="15" hidden="false" customHeight="false" outlineLevel="0" collapsed="false">
      <c r="A33" s="8" t="n">
        <v>29</v>
      </c>
      <c r="B33" s="8" t="s">
        <v>130</v>
      </c>
      <c r="C33" s="8" t="s">
        <v>420</v>
      </c>
      <c r="D33" s="9" t="n">
        <v>7</v>
      </c>
      <c r="E33" s="9" t="n">
        <v>5</v>
      </c>
      <c r="F33" s="9" t="n">
        <v>6</v>
      </c>
      <c r="G33" s="26" t="n">
        <f aca="false">D33*E33*F33/100</f>
        <v>2.1</v>
      </c>
      <c r="H33" s="8" t="n">
        <f aca="false">RANK(G33,$G$5:$G$34)</f>
        <v>28</v>
      </c>
      <c r="I33" s="9" t="s">
        <v>385</v>
      </c>
      <c r="J33" s="9"/>
    </row>
    <row r="34" customFormat="false" ht="15" hidden="false" customHeight="false" outlineLevel="0" collapsed="false">
      <c r="A34" s="8" t="n">
        <v>30</v>
      </c>
      <c r="B34" s="8" t="s">
        <v>421</v>
      </c>
      <c r="C34" s="8" t="s">
        <v>422</v>
      </c>
      <c r="D34" s="9" t="n">
        <v>6</v>
      </c>
      <c r="E34" s="9" t="n">
        <v>6</v>
      </c>
      <c r="F34" s="9" t="n">
        <v>9</v>
      </c>
      <c r="G34" s="26" t="n">
        <f aca="false">D34*E34*F34/100</f>
        <v>3.24</v>
      </c>
      <c r="H34" s="8" t="n">
        <f aca="false">RANK(G34,$G$5:$G$34)</f>
        <v>11</v>
      </c>
      <c r="I34" s="9" t="s">
        <v>385</v>
      </c>
      <c r="J34" s="9"/>
    </row>
  </sheetData>
  <dataValidations count="2">
    <dataValidation allowBlank="true" errorStyle="stop" operator="between" showDropDown="false" showErrorMessage="false" showInputMessage="false" sqref="I5:I34" type="list">
      <formula1>"Chờ,Đang chạy,Thắng,Thua,Hủy"</formula1>
      <formula2>0</formula2>
    </dataValidation>
    <dataValidation allowBlank="true" errorStyle="stop" operator="between" showDropDown="false" showErrorMessage="false" showInputMessage="false" sqref="D5:F34" type="list">
      <formula1>"1,2,3,4,5,6,7,8,9,10"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0"/>
    <col collapsed="false" customWidth="true" hidden="false" outlineLevel="0" max="3" min="3" style="0" width="26"/>
    <col collapsed="false" customWidth="true" hidden="false" outlineLevel="0" max="4" min="4" style="0" width="20"/>
    <col collapsed="false" customWidth="true" hidden="false" outlineLevel="0" max="5" min="5" style="0" width="34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12"/>
    <col collapsed="false" customWidth="true" hidden="false" outlineLevel="0" max="9" min="9" style="0" width="13"/>
  </cols>
  <sheetData>
    <row r="1" customFormat="false" ht="17.35" hidden="false" customHeight="false" outlineLevel="0" collapsed="false">
      <c r="A1" s="5" t="s">
        <v>29</v>
      </c>
    </row>
    <row r="2" customFormat="false" ht="15" hidden="false" customHeight="false" outlineLevel="0" collapsed="false">
      <c r="A2" s="6" t="s">
        <v>423</v>
      </c>
    </row>
    <row r="4" customFormat="false" ht="15" hidden="false" customHeight="false" outlineLevel="0" collapsed="false">
      <c r="A4" s="7" t="s">
        <v>57</v>
      </c>
      <c r="B4" s="7" t="s">
        <v>424</v>
      </c>
      <c r="C4" s="7" t="s">
        <v>425</v>
      </c>
      <c r="D4" s="7" t="s">
        <v>426</v>
      </c>
      <c r="E4" s="7" t="s">
        <v>427</v>
      </c>
      <c r="F4" s="7" t="s">
        <v>428</v>
      </c>
      <c r="G4" s="7" t="s">
        <v>429</v>
      </c>
      <c r="H4" s="7" t="s">
        <v>153</v>
      </c>
      <c r="I4" s="7" t="s">
        <v>430</v>
      </c>
    </row>
    <row r="5" customFormat="false" ht="23.85" hidden="false" customHeight="false" outlineLevel="0" collapsed="false">
      <c r="A5" s="8" t="n">
        <v>1</v>
      </c>
      <c r="B5" s="8" t="s">
        <v>431</v>
      </c>
      <c r="C5" s="8" t="s">
        <v>432</v>
      </c>
      <c r="D5" s="8" t="s">
        <v>433</v>
      </c>
      <c r="E5" s="8" t="s">
        <v>434</v>
      </c>
      <c r="F5" s="9"/>
      <c r="G5" s="9"/>
      <c r="H5" s="25"/>
      <c r="I5" s="27" t="str">
        <f aca="false">IF(ISNUMBER(H5),EDATE(H5,12),"")</f>
        <v/>
      </c>
    </row>
    <row r="6" customFormat="false" ht="15" hidden="false" customHeight="false" outlineLevel="0" collapsed="false">
      <c r="A6" s="8" t="n">
        <v>2</v>
      </c>
      <c r="B6" s="8" t="s">
        <v>435</v>
      </c>
      <c r="C6" s="8" t="s">
        <v>436</v>
      </c>
      <c r="D6" s="8" t="s">
        <v>437</v>
      </c>
      <c r="E6" s="8" t="s">
        <v>438</v>
      </c>
      <c r="F6" s="9"/>
      <c r="G6" s="9"/>
      <c r="H6" s="25"/>
      <c r="I6" s="27" t="str">
        <f aca="false">IF(ISNUMBER(H6),EDATE(H6,12),"")</f>
        <v/>
      </c>
    </row>
    <row r="7" customFormat="false" ht="15" hidden="false" customHeight="false" outlineLevel="0" collapsed="false">
      <c r="A7" s="8" t="n">
        <v>3</v>
      </c>
      <c r="B7" s="8" t="s">
        <v>439</v>
      </c>
      <c r="C7" s="8" t="s">
        <v>440</v>
      </c>
      <c r="D7" s="8" t="s">
        <v>441</v>
      </c>
      <c r="E7" s="8" t="s">
        <v>442</v>
      </c>
      <c r="F7" s="9"/>
      <c r="G7" s="9"/>
      <c r="H7" s="25"/>
      <c r="I7" s="27" t="str">
        <f aca="false">IF(ISNUMBER(H7),EDATE(H7,12),"")</f>
        <v/>
      </c>
    </row>
    <row r="8" customFormat="false" ht="15" hidden="false" customHeight="false" outlineLevel="0" collapsed="false">
      <c r="A8" s="8" t="n">
        <v>4</v>
      </c>
      <c r="B8" s="8" t="s">
        <v>443</v>
      </c>
      <c r="C8" s="8" t="s">
        <v>444</v>
      </c>
      <c r="D8" s="8" t="s">
        <v>445</v>
      </c>
      <c r="E8" s="8" t="s">
        <v>446</v>
      </c>
      <c r="F8" s="9"/>
      <c r="G8" s="9"/>
      <c r="H8" s="25"/>
      <c r="I8" s="27" t="str">
        <f aca="false">IF(ISNUMBER(H8),EDATE(H8,12),"")</f>
        <v/>
      </c>
    </row>
    <row r="9" customFormat="false" ht="15" hidden="false" customHeight="false" outlineLevel="0" collapsed="false">
      <c r="A9" s="8" t="n">
        <v>5</v>
      </c>
      <c r="B9" s="8" t="s">
        <v>447</v>
      </c>
      <c r="C9" s="8" t="s">
        <v>444</v>
      </c>
      <c r="D9" s="8" t="s">
        <v>445</v>
      </c>
      <c r="E9" s="8" t="s">
        <v>448</v>
      </c>
      <c r="F9" s="9"/>
      <c r="G9" s="9"/>
      <c r="H9" s="25"/>
      <c r="I9" s="27" t="str">
        <f aca="false">IF(ISNUMBER(H9),EDATE(H9,12),"")</f>
        <v/>
      </c>
    </row>
    <row r="10" customFormat="false" ht="15" hidden="false" customHeight="false" outlineLevel="0" collapsed="false">
      <c r="A10" s="8" t="n">
        <v>6</v>
      </c>
      <c r="B10" s="8" t="s">
        <v>449</v>
      </c>
      <c r="C10" s="8" t="s">
        <v>450</v>
      </c>
      <c r="D10" s="8" t="s">
        <v>445</v>
      </c>
      <c r="E10" s="8" t="s">
        <v>451</v>
      </c>
      <c r="F10" s="9"/>
      <c r="G10" s="9"/>
      <c r="H10" s="25"/>
      <c r="I10" s="27" t="str">
        <f aca="false">IF(ISNUMBER(H10),EDATE(H10,12),"")</f>
        <v/>
      </c>
    </row>
    <row r="11" customFormat="false" ht="23.85" hidden="false" customHeight="false" outlineLevel="0" collapsed="false">
      <c r="A11" s="8" t="n">
        <v>7</v>
      </c>
      <c r="B11" s="8" t="s">
        <v>452</v>
      </c>
      <c r="C11" s="8" t="s">
        <v>453</v>
      </c>
      <c r="D11" s="8" t="s">
        <v>454</v>
      </c>
      <c r="E11" s="8" t="s">
        <v>455</v>
      </c>
      <c r="F11" s="9"/>
      <c r="G11" s="9"/>
      <c r="H11" s="25"/>
      <c r="I11" s="27" t="str">
        <f aca="false">IF(ISNUMBER(H11),EDATE(H11,12),"")</f>
        <v/>
      </c>
    </row>
    <row r="12" customFormat="false" ht="23.85" hidden="false" customHeight="false" outlineLevel="0" collapsed="false">
      <c r="A12" s="8" t="n">
        <v>8</v>
      </c>
      <c r="B12" s="8" t="s">
        <v>456</v>
      </c>
      <c r="C12" s="8" t="s">
        <v>457</v>
      </c>
      <c r="D12" s="8" t="s">
        <v>458</v>
      </c>
      <c r="E12" s="8" t="s">
        <v>459</v>
      </c>
      <c r="F12" s="9"/>
      <c r="G12" s="9"/>
      <c r="H12" s="25"/>
      <c r="I12" s="27" t="str">
        <f aca="false">IF(ISNUMBER(H12),EDATE(H12,12),"")</f>
        <v/>
      </c>
    </row>
    <row r="13" customFormat="false" ht="15" hidden="false" customHeight="false" outlineLevel="0" collapsed="false">
      <c r="A13" s="8" t="n">
        <v>9</v>
      </c>
      <c r="B13" s="8" t="s">
        <v>460</v>
      </c>
      <c r="C13" s="8" t="s">
        <v>461</v>
      </c>
      <c r="D13" s="8" t="s">
        <v>445</v>
      </c>
      <c r="E13" s="8" t="s">
        <v>462</v>
      </c>
      <c r="F13" s="9"/>
      <c r="G13" s="9"/>
      <c r="H13" s="25"/>
      <c r="I13" s="27" t="str">
        <f aca="false">IF(ISNUMBER(H13),EDATE(H13,12),"")</f>
        <v/>
      </c>
    </row>
    <row r="14" customFormat="false" ht="15" hidden="false" customHeight="false" outlineLevel="0" collapsed="false">
      <c r="A14" s="8" t="n">
        <v>10</v>
      </c>
      <c r="B14" s="8" t="s">
        <v>463</v>
      </c>
      <c r="C14" s="8" t="s">
        <v>464</v>
      </c>
      <c r="D14" s="8" t="s">
        <v>445</v>
      </c>
      <c r="E14" s="8" t="s">
        <v>465</v>
      </c>
      <c r="F14" s="9"/>
      <c r="G14" s="9"/>
      <c r="H14" s="25"/>
      <c r="I14" s="27" t="str">
        <f aca="false">IF(ISNUMBER(H14),EDATE(H14,12),"")</f>
        <v/>
      </c>
    </row>
    <row r="15" customFormat="false" ht="15" hidden="false" customHeight="false" outlineLevel="0" collapsed="false">
      <c r="A15" s="8" t="n">
        <v>11</v>
      </c>
      <c r="B15" s="9"/>
      <c r="C15" s="9"/>
      <c r="D15" s="9"/>
      <c r="E15" s="9"/>
      <c r="F15" s="9"/>
      <c r="G15" s="9"/>
      <c r="H15" s="25"/>
      <c r="I15" s="27" t="str">
        <f aca="false">IF(ISNUMBER(H15),EDATE(H15,12),"")</f>
        <v/>
      </c>
    </row>
    <row r="16" customFormat="false" ht="15" hidden="false" customHeight="false" outlineLevel="0" collapsed="false">
      <c r="A16" s="8" t="n">
        <v>12</v>
      </c>
      <c r="B16" s="9"/>
      <c r="C16" s="9"/>
      <c r="D16" s="9"/>
      <c r="E16" s="9"/>
      <c r="F16" s="9"/>
      <c r="G16" s="9"/>
      <c r="H16" s="25"/>
      <c r="I16" s="27" t="str">
        <f aca="false">IF(ISNUMBER(H16),EDATE(H16,12),"")</f>
        <v/>
      </c>
    </row>
    <row r="17" customFormat="false" ht="15" hidden="false" customHeight="false" outlineLevel="0" collapsed="false">
      <c r="A17" s="8" t="n">
        <v>13</v>
      </c>
      <c r="B17" s="9"/>
      <c r="C17" s="9"/>
      <c r="D17" s="9"/>
      <c r="E17" s="9"/>
      <c r="F17" s="9"/>
      <c r="G17" s="9"/>
      <c r="H17" s="25"/>
      <c r="I17" s="27" t="str">
        <f aca="false">IF(ISNUMBER(H17),EDATE(H17,12),"")</f>
        <v/>
      </c>
    </row>
    <row r="18" customFormat="false" ht="15" hidden="false" customHeight="false" outlineLevel="0" collapsed="false">
      <c r="A18" s="8" t="n">
        <v>14</v>
      </c>
      <c r="B18" s="9"/>
      <c r="C18" s="9"/>
      <c r="D18" s="9"/>
      <c r="E18" s="9"/>
      <c r="F18" s="9"/>
      <c r="G18" s="9"/>
      <c r="H18" s="25"/>
      <c r="I18" s="27" t="str">
        <f aca="false">IF(ISNUMBER(H18),EDATE(H18,12),"")</f>
        <v/>
      </c>
    </row>
    <row r="19" customFormat="false" ht="15" hidden="false" customHeight="false" outlineLevel="0" collapsed="false">
      <c r="A19" s="8" t="n">
        <v>15</v>
      </c>
      <c r="B19" s="9"/>
      <c r="C19" s="9"/>
      <c r="D19" s="9"/>
      <c r="E19" s="9"/>
      <c r="F19" s="9"/>
      <c r="G19" s="9"/>
      <c r="H19" s="25"/>
      <c r="I19" s="27" t="str">
        <f aca="false">IF(ISNUMBER(H19),EDATE(H19,12),"")</f>
        <v/>
      </c>
    </row>
    <row r="20" customFormat="false" ht="15" hidden="false" customHeight="false" outlineLevel="0" collapsed="false">
      <c r="A20" s="8" t="n">
        <v>16</v>
      </c>
      <c r="B20" s="9"/>
      <c r="C20" s="9"/>
      <c r="D20" s="9"/>
      <c r="E20" s="9"/>
      <c r="F20" s="9"/>
      <c r="G20" s="9"/>
      <c r="H20" s="25"/>
      <c r="I20" s="27" t="str">
        <f aca="false">IF(ISNUMBER(H20),EDATE(H20,12),"")</f>
        <v/>
      </c>
    </row>
    <row r="21" customFormat="false" ht="15" hidden="false" customHeight="false" outlineLevel="0" collapsed="false">
      <c r="A21" s="8" t="n">
        <v>17</v>
      </c>
      <c r="B21" s="9"/>
      <c r="C21" s="9"/>
      <c r="D21" s="9"/>
      <c r="E21" s="9"/>
      <c r="F21" s="9"/>
      <c r="G21" s="9"/>
      <c r="H21" s="25"/>
      <c r="I21" s="27" t="str">
        <f aca="false">IF(ISNUMBER(H21),EDATE(H21,12),"")</f>
        <v/>
      </c>
    </row>
    <row r="22" customFormat="false" ht="15" hidden="false" customHeight="false" outlineLevel="0" collapsed="false">
      <c r="A22" s="8" t="n">
        <v>18</v>
      </c>
      <c r="B22" s="9"/>
      <c r="C22" s="9"/>
      <c r="D22" s="9"/>
      <c r="E22" s="9"/>
      <c r="F22" s="9"/>
      <c r="G22" s="9"/>
      <c r="H22" s="25"/>
      <c r="I22" s="27" t="str">
        <f aca="false">IF(ISNUMBER(H22),EDATE(H22,12),"")</f>
        <v/>
      </c>
    </row>
    <row r="23" customFormat="false" ht="15" hidden="false" customHeight="false" outlineLevel="0" collapsed="false">
      <c r="A23" s="8" t="n">
        <v>19</v>
      </c>
      <c r="B23" s="9"/>
      <c r="C23" s="9"/>
      <c r="D23" s="9"/>
      <c r="E23" s="9"/>
      <c r="F23" s="9"/>
      <c r="G23" s="9"/>
      <c r="H23" s="25"/>
      <c r="I23" s="27" t="str">
        <f aca="false">IF(ISNUMBER(H23),EDATE(H23,12),"")</f>
        <v/>
      </c>
    </row>
    <row r="24" customFormat="false" ht="15" hidden="false" customHeight="false" outlineLevel="0" collapsed="false">
      <c r="A24" s="8" t="n">
        <v>20</v>
      </c>
      <c r="B24" s="9"/>
      <c r="C24" s="9"/>
      <c r="D24" s="9"/>
      <c r="E24" s="9"/>
      <c r="F24" s="9"/>
      <c r="G24" s="9"/>
      <c r="H24" s="25"/>
      <c r="I24" s="27" t="str">
        <f aca="false">IF(ISNUMBER(H24),EDATE(H24,12),"")</f>
        <v/>
      </c>
    </row>
    <row r="25" customFormat="false" ht="15" hidden="false" customHeight="false" outlineLevel="0" collapsed="false">
      <c r="A25" s="8" t="n">
        <v>21</v>
      </c>
      <c r="B25" s="9"/>
      <c r="C25" s="9"/>
      <c r="D25" s="9"/>
      <c r="E25" s="9"/>
      <c r="F25" s="9"/>
      <c r="G25" s="9"/>
      <c r="H25" s="25"/>
      <c r="I25" s="27" t="str">
        <f aca="false">IF(ISNUMBER(H25),EDATE(H25,12),"")</f>
        <v/>
      </c>
    </row>
    <row r="26" customFormat="false" ht="15" hidden="false" customHeight="false" outlineLevel="0" collapsed="false">
      <c r="A26" s="8" t="n">
        <v>22</v>
      </c>
      <c r="B26" s="9"/>
      <c r="C26" s="9"/>
      <c r="D26" s="9"/>
      <c r="E26" s="9"/>
      <c r="F26" s="9"/>
      <c r="G26" s="9"/>
      <c r="H26" s="25"/>
      <c r="I26" s="27" t="str">
        <f aca="false">IF(ISNUMBER(H26),EDATE(H26,12),"")</f>
        <v/>
      </c>
    </row>
    <row r="27" customFormat="false" ht="15" hidden="false" customHeight="false" outlineLevel="0" collapsed="false">
      <c r="A27" s="8" t="n">
        <v>23</v>
      </c>
      <c r="B27" s="9"/>
      <c r="C27" s="9"/>
      <c r="D27" s="9"/>
      <c r="E27" s="9"/>
      <c r="F27" s="9"/>
      <c r="G27" s="9"/>
      <c r="H27" s="25"/>
      <c r="I27" s="27" t="str">
        <f aca="false">IF(ISNUMBER(H27),EDATE(H27,12),"")</f>
        <v/>
      </c>
    </row>
    <row r="28" customFormat="false" ht="15" hidden="false" customHeight="false" outlineLevel="0" collapsed="false">
      <c r="A28" s="8" t="n">
        <v>24</v>
      </c>
      <c r="B28" s="9"/>
      <c r="C28" s="9"/>
      <c r="D28" s="9"/>
      <c r="E28" s="9"/>
      <c r="F28" s="9"/>
      <c r="G28" s="9"/>
      <c r="H28" s="25"/>
      <c r="I28" s="27" t="str">
        <f aca="false">IF(ISNUMBER(H28),EDATE(H28,12),"")</f>
        <v/>
      </c>
    </row>
    <row r="29" customFormat="false" ht="15" hidden="false" customHeight="false" outlineLevel="0" collapsed="false">
      <c r="A29" s="8" t="n">
        <v>25</v>
      </c>
      <c r="B29" s="9"/>
      <c r="C29" s="9"/>
      <c r="D29" s="9"/>
      <c r="E29" s="9"/>
      <c r="F29" s="9"/>
      <c r="G29" s="9"/>
      <c r="H29" s="25"/>
      <c r="I29" s="27" t="str">
        <f aca="false">IF(ISNUMBER(H29),EDATE(H29,12),"")</f>
        <v/>
      </c>
    </row>
    <row r="30" customFormat="false" ht="15" hidden="false" customHeight="false" outlineLevel="0" collapsed="false">
      <c r="A30" s="8" t="n">
        <v>26</v>
      </c>
      <c r="B30" s="9"/>
      <c r="C30" s="9"/>
      <c r="D30" s="9"/>
      <c r="E30" s="9"/>
      <c r="F30" s="9"/>
      <c r="G30" s="9"/>
      <c r="H30" s="25"/>
      <c r="I30" s="27" t="str">
        <f aca="false">IF(ISNUMBER(H30),EDATE(H30,12),"")</f>
        <v/>
      </c>
    </row>
    <row r="31" customFormat="false" ht="15" hidden="false" customHeight="false" outlineLevel="0" collapsed="false">
      <c r="A31" s="8" t="n">
        <v>27</v>
      </c>
      <c r="B31" s="9"/>
      <c r="C31" s="9"/>
      <c r="D31" s="9"/>
      <c r="E31" s="9"/>
      <c r="F31" s="9"/>
      <c r="G31" s="9"/>
      <c r="H31" s="25"/>
      <c r="I31" s="27" t="str">
        <f aca="false">IF(ISNUMBER(H31),EDATE(H31,12),"")</f>
        <v/>
      </c>
    </row>
    <row r="32" customFormat="false" ht="15" hidden="false" customHeight="false" outlineLevel="0" collapsed="false">
      <c r="A32" s="8" t="n">
        <v>28</v>
      </c>
      <c r="B32" s="9"/>
      <c r="C32" s="9"/>
      <c r="D32" s="9"/>
      <c r="E32" s="9"/>
      <c r="F32" s="9"/>
      <c r="G32" s="9"/>
      <c r="H32" s="25"/>
      <c r="I32" s="27" t="str">
        <f aca="false">IF(ISNUMBER(H32),EDATE(H32,12),"")</f>
        <v/>
      </c>
    </row>
    <row r="33" customFormat="false" ht="15" hidden="false" customHeight="false" outlineLevel="0" collapsed="false">
      <c r="A33" s="8" t="n">
        <v>29</v>
      </c>
      <c r="B33" s="9"/>
      <c r="C33" s="9"/>
      <c r="D33" s="9"/>
      <c r="E33" s="9"/>
      <c r="F33" s="9"/>
      <c r="G33" s="9"/>
      <c r="H33" s="25"/>
      <c r="I33" s="27" t="str">
        <f aca="false">IF(ISNUMBER(H33),EDATE(H33,12),"")</f>
        <v/>
      </c>
    </row>
    <row r="34" customFormat="false" ht="15" hidden="false" customHeight="false" outlineLevel="0" collapsed="false">
      <c r="A34" s="8" t="n">
        <v>30</v>
      </c>
      <c r="B34" s="9"/>
      <c r="C34" s="9"/>
      <c r="D34" s="9"/>
      <c r="E34" s="9"/>
      <c r="F34" s="9"/>
      <c r="G34" s="9"/>
      <c r="H34" s="25"/>
      <c r="I34" s="27" t="str">
        <f aca="false">IF(ISNUMBER(H34),EDATE(H34,12),"")</f>
        <v/>
      </c>
    </row>
  </sheetData>
  <dataValidations count="1">
    <dataValidation allowBlank="true" errorStyle="stop" operator="between" showDropDown="false" showErrorMessage="false" showInputMessage="false" sqref="F5:F34" type="list">
      <formula1>"Cao,Trung bình,Thấp"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65</v>
      </c>
    </row>
    <row r="2" customFormat="false" ht="15" hidden="false" customHeight="false" outlineLevel="0" collapsed="false">
      <c r="A2" s="0" t="s">
        <v>66</v>
      </c>
    </row>
    <row r="3" customFormat="false" ht="15" hidden="false" customHeight="false" outlineLevel="0" collapsed="false">
      <c r="A3" s="0" t="s">
        <v>67</v>
      </c>
    </row>
    <row r="4" customFormat="false" ht="15" hidden="false" customHeight="false" outlineLevel="0" collapsed="false">
      <c r="A4" s="0" t="s">
        <v>68</v>
      </c>
    </row>
    <row r="5" customFormat="false" ht="15" hidden="false" customHeight="false" outlineLevel="0" collapsed="false">
      <c r="A5" s="0" t="s">
        <v>69</v>
      </c>
    </row>
    <row r="6" customFormat="false" ht="15" hidden="false" customHeight="false" outlineLevel="0" collapsed="false">
      <c r="A6" s="0" t="s">
        <v>70</v>
      </c>
    </row>
    <row r="7" customFormat="false" ht="15" hidden="false" customHeight="false" outlineLevel="0" collapsed="false">
      <c r="A7" s="0" t="s">
        <v>71</v>
      </c>
    </row>
    <row r="8" customFormat="false" ht="15" hidden="false" customHeight="false" outlineLevel="0" collapsed="false">
      <c r="A8" s="0" t="s">
        <v>72</v>
      </c>
    </row>
    <row r="9" customFormat="false" ht="15" hidden="false" customHeight="false" outlineLevel="0" collapsed="false">
      <c r="A9" s="0" t="s">
        <v>73</v>
      </c>
    </row>
    <row r="10" customFormat="false" ht="15" hidden="false" customHeight="false" outlineLevel="0" collapsed="false">
      <c r="A10" s="0" t="s">
        <v>74</v>
      </c>
    </row>
    <row r="11" customFormat="false" ht="15" hidden="false" customHeight="false" outlineLevel="0" collapsed="false">
      <c r="A11" s="0" t="s">
        <v>75</v>
      </c>
    </row>
    <row r="12" customFormat="false" ht="15" hidden="false" customHeight="false" outlineLevel="0" collapsed="false">
      <c r="A12" s="0" t="s">
        <v>76</v>
      </c>
    </row>
    <row r="13" customFormat="false" ht="15" hidden="false" customHeight="false" outlineLevel="0" collapsed="false">
      <c r="A13" s="0" t="s">
        <v>77</v>
      </c>
    </row>
    <row r="14" customFormat="false" ht="15" hidden="false" customHeight="false" outlineLevel="0" collapsed="false">
      <c r="A14" s="0" t="s">
        <v>78</v>
      </c>
    </row>
    <row r="15" customFormat="false" ht="15" hidden="false" customHeight="false" outlineLevel="0" collapsed="false">
      <c r="A15" s="0" t="s">
        <v>79</v>
      </c>
    </row>
    <row r="16" customFormat="false" ht="15" hidden="false" customHeight="false" outlineLevel="0" collapsed="false">
      <c r="A16" s="0" t="s">
        <v>80</v>
      </c>
    </row>
    <row r="17" customFormat="false" ht="15" hidden="false" customHeight="false" outlineLevel="0" collapsed="false">
      <c r="A17" s="0" t="s">
        <v>81</v>
      </c>
    </row>
    <row r="18" customFormat="false" ht="15" hidden="false" customHeight="false" outlineLevel="0" collapsed="false">
      <c r="A18" s="0" t="s">
        <v>82</v>
      </c>
    </row>
    <row r="19" customFormat="false" ht="15" hidden="false" customHeight="false" outlineLevel="0" collapsed="false">
      <c r="A19" s="0" t="s">
        <v>83</v>
      </c>
    </row>
    <row r="20" customFormat="false" ht="15" hidden="false" customHeight="false" outlineLevel="0" collapsed="false">
      <c r="A20" s="0" t="s">
        <v>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2026-10-07T08:31:25Z</dcterms:created>
  <dc:creator>openpyxl</dc:creator>
  <dc:description/>
  <dc:language>en-US</dc:language>
  <cp:lastModifiedBy/>
  <dcterms:modified xsi:type="dcterms:W3CDTF">2026-10-07T08:31:25Z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