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8a15e8f44ec9355/DS CORPORATION/KẾ TOÁN/2026/01_FILE_EXCEL_KE_TOAN/"/>
    </mc:Choice>
  </mc:AlternateContent>
  <xr:revisionPtr revIDLastSave="52" documentId="8_{A8B7181C-02C6-41FD-931E-BCBD2E9B1342}" xr6:coauthVersionLast="47" xr6:coauthVersionMax="47" xr10:uidLastSave="{2069634C-2786-4032-8AAB-A63A4667E8F3}"/>
  <bookViews>
    <workbookView minimized="1" xWindow="3640" yWindow="3640" windowWidth="17280" windowHeight="10690" activeTab="1" xr2:uid="{00000000-000D-0000-FFFF-FFFF00000000}"/>
  </bookViews>
  <sheets>
    <sheet name="DANH MỤC TK" sheetId="1" r:id="rId1"/>
    <sheet name="NHẬT KÝ CHUNG" sheetId="2" r:id="rId2"/>
    <sheet name="SỔ CÁI" sheetId="3" r:id="rId3"/>
    <sheet name="BÁO CÁO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4" l="1"/>
  <c r="C26" i="4"/>
  <c r="D25" i="4"/>
  <c r="C25" i="4"/>
  <c r="D24" i="4"/>
  <c r="C24" i="4"/>
  <c r="D23" i="4"/>
  <c r="C23" i="4"/>
  <c r="E23" i="4" s="1"/>
  <c r="D22" i="4"/>
  <c r="C22" i="4"/>
  <c r="E22" i="4" s="1"/>
  <c r="D21" i="4"/>
  <c r="C21" i="4"/>
  <c r="D20" i="4"/>
  <c r="C20" i="4"/>
  <c r="D19" i="4"/>
  <c r="C19" i="4"/>
  <c r="D18" i="4"/>
  <c r="C18" i="4"/>
  <c r="E18" i="4" s="1"/>
  <c r="D17" i="4"/>
  <c r="C17" i="4"/>
  <c r="E17" i="4" s="1"/>
  <c r="D16" i="4"/>
  <c r="C16" i="4"/>
  <c r="D15" i="4"/>
  <c r="C15" i="4"/>
  <c r="D14" i="4"/>
  <c r="C14" i="4"/>
  <c r="E14" i="4" s="1"/>
  <c r="D13" i="4"/>
  <c r="C13" i="4"/>
  <c r="D6" i="4"/>
  <c r="A6" i="4"/>
  <c r="F31" i="3"/>
  <c r="E31" i="3"/>
  <c r="D31" i="3"/>
  <c r="C31" i="3"/>
  <c r="B31" i="3"/>
  <c r="A31" i="3"/>
  <c r="F30" i="3"/>
  <c r="E30" i="3"/>
  <c r="D30" i="3"/>
  <c r="C30" i="3"/>
  <c r="B30" i="3"/>
  <c r="A30" i="3"/>
  <c r="F29" i="3"/>
  <c r="E29" i="3"/>
  <c r="D29" i="3"/>
  <c r="C29" i="3"/>
  <c r="B29" i="3"/>
  <c r="A29" i="3"/>
  <c r="F28" i="3"/>
  <c r="E28" i="3"/>
  <c r="D28" i="3"/>
  <c r="C28" i="3"/>
  <c r="B28" i="3"/>
  <c r="A28" i="3"/>
  <c r="F27" i="3"/>
  <c r="E27" i="3"/>
  <c r="D27" i="3"/>
  <c r="C27" i="3"/>
  <c r="B27" i="3"/>
  <c r="A27" i="3"/>
  <c r="F26" i="3"/>
  <c r="E26" i="3"/>
  <c r="D26" i="3"/>
  <c r="C26" i="3"/>
  <c r="B26" i="3"/>
  <c r="A26" i="3"/>
  <c r="F25" i="3"/>
  <c r="E25" i="3"/>
  <c r="D25" i="3"/>
  <c r="C25" i="3"/>
  <c r="B25" i="3"/>
  <c r="A25" i="3"/>
  <c r="F24" i="3"/>
  <c r="E24" i="3"/>
  <c r="D24" i="3"/>
  <c r="C24" i="3"/>
  <c r="B24" i="3"/>
  <c r="A24" i="3"/>
  <c r="F23" i="3"/>
  <c r="E23" i="3"/>
  <c r="D23" i="3"/>
  <c r="C23" i="3"/>
  <c r="B23" i="3"/>
  <c r="A23" i="3"/>
  <c r="F22" i="3"/>
  <c r="E22" i="3"/>
  <c r="D22" i="3"/>
  <c r="C22" i="3"/>
  <c r="B22" i="3"/>
  <c r="A22" i="3"/>
  <c r="F21" i="3"/>
  <c r="E21" i="3"/>
  <c r="D21" i="3"/>
  <c r="C21" i="3"/>
  <c r="B21" i="3"/>
  <c r="A21" i="3"/>
  <c r="F20" i="3"/>
  <c r="E20" i="3"/>
  <c r="D20" i="3"/>
  <c r="C20" i="3"/>
  <c r="B20" i="3"/>
  <c r="A20" i="3"/>
  <c r="F19" i="3"/>
  <c r="E19" i="3"/>
  <c r="D19" i="3"/>
  <c r="C19" i="3"/>
  <c r="B19" i="3"/>
  <c r="A19" i="3"/>
  <c r="F18" i="3"/>
  <c r="E18" i="3"/>
  <c r="D18" i="3"/>
  <c r="C18" i="3"/>
  <c r="B18" i="3"/>
  <c r="A18" i="3"/>
  <c r="F17" i="3"/>
  <c r="E17" i="3"/>
  <c r="D17" i="3"/>
  <c r="C17" i="3"/>
  <c r="B17" i="3"/>
  <c r="A17" i="3"/>
  <c r="F16" i="3"/>
  <c r="E16" i="3"/>
  <c r="D16" i="3"/>
  <c r="C16" i="3"/>
  <c r="B16" i="3"/>
  <c r="A16" i="3"/>
  <c r="F15" i="3"/>
  <c r="E15" i="3"/>
  <c r="D15" i="3"/>
  <c r="C15" i="3"/>
  <c r="B15" i="3"/>
  <c r="A15" i="3"/>
  <c r="F14" i="3"/>
  <c r="E14" i="3"/>
  <c r="D14" i="3"/>
  <c r="C14" i="3"/>
  <c r="B14" i="3"/>
  <c r="A14" i="3"/>
  <c r="F13" i="3"/>
  <c r="E13" i="3"/>
  <c r="D13" i="3"/>
  <c r="C13" i="3"/>
  <c r="B13" i="3"/>
  <c r="A13" i="3"/>
  <c r="F12" i="3"/>
  <c r="E12" i="3"/>
  <c r="D12" i="3"/>
  <c r="C12" i="3"/>
  <c r="B12" i="3"/>
  <c r="A12" i="3"/>
  <c r="F11" i="3"/>
  <c r="E11" i="3"/>
  <c r="D11" i="3"/>
  <c r="C11" i="3"/>
  <c r="B11" i="3"/>
  <c r="A11" i="3"/>
  <c r="F10" i="3"/>
  <c r="E10" i="3"/>
  <c r="D10" i="3"/>
  <c r="C10" i="3"/>
  <c r="B10" i="3"/>
  <c r="A10" i="3"/>
  <c r="F9" i="3"/>
  <c r="E9" i="3"/>
  <c r="D9" i="3"/>
  <c r="C9" i="3"/>
  <c r="B9" i="3"/>
  <c r="A9" i="3"/>
  <c r="F8" i="3"/>
  <c r="E8" i="3"/>
  <c r="D8" i="3"/>
  <c r="C8" i="3"/>
  <c r="B8" i="3"/>
  <c r="A8" i="3"/>
  <c r="F7" i="3"/>
  <c r="E7" i="3"/>
  <c r="D7" i="3"/>
  <c r="C7" i="3"/>
  <c r="B7" i="3"/>
  <c r="A7" i="3"/>
  <c r="C4" i="3"/>
  <c r="F36" i="2"/>
  <c r="H35" i="2"/>
  <c r="G35" i="2"/>
  <c r="H34" i="2"/>
  <c r="G34" i="2"/>
  <c r="H33" i="2"/>
  <c r="G33" i="2"/>
  <c r="H32" i="2"/>
  <c r="G32" i="2"/>
  <c r="H31" i="2"/>
  <c r="G31" i="2"/>
  <c r="H30" i="2"/>
  <c r="G30" i="2"/>
  <c r="H29" i="2"/>
  <c r="G29" i="2"/>
  <c r="H28" i="2"/>
  <c r="G28" i="2"/>
  <c r="H27" i="2"/>
  <c r="G27" i="2"/>
  <c r="H26" i="2"/>
  <c r="G26" i="2"/>
  <c r="H25" i="2"/>
  <c r="G25" i="2"/>
  <c r="H24" i="2"/>
  <c r="G24" i="2"/>
  <c r="H23" i="2"/>
  <c r="G23" i="2"/>
  <c r="H22" i="2"/>
  <c r="G22" i="2"/>
  <c r="H21" i="2"/>
  <c r="G21" i="2"/>
  <c r="H20" i="2"/>
  <c r="G20" i="2"/>
  <c r="H19" i="2"/>
  <c r="G19" i="2"/>
  <c r="H18" i="2"/>
  <c r="G18" i="2"/>
  <c r="H17" i="2"/>
  <c r="G17" i="2"/>
  <c r="H16" i="2"/>
  <c r="G16" i="2"/>
  <c r="H15" i="2"/>
  <c r="G15" i="2"/>
  <c r="H14" i="2"/>
  <c r="G14" i="2"/>
  <c r="H13" i="2"/>
  <c r="G13" i="2"/>
  <c r="H12" i="2"/>
  <c r="G12" i="2"/>
  <c r="H11" i="2"/>
  <c r="G11" i="2"/>
  <c r="H10" i="2"/>
  <c r="G10" i="2"/>
  <c r="H9" i="2"/>
  <c r="G9" i="2"/>
  <c r="H8" i="2"/>
  <c r="G8" i="2"/>
  <c r="H7" i="2"/>
  <c r="G7" i="2"/>
  <c r="H6" i="2"/>
  <c r="G6" i="2"/>
  <c r="E19" i="4" l="1"/>
  <c r="F32" i="3"/>
  <c r="E15" i="4"/>
  <c r="E20" i="4"/>
  <c r="E25" i="4"/>
  <c r="D27" i="4"/>
  <c r="E16" i="4"/>
  <c r="E21" i="4"/>
  <c r="E26" i="4"/>
  <c r="E24" i="4"/>
  <c r="C27" i="4"/>
  <c r="E32" i="3"/>
  <c r="G6" i="4"/>
  <c r="E13" i="4"/>
  <c r="C29" i="4" l="1"/>
  <c r="E27" i="4"/>
</calcChain>
</file>

<file path=xl/sharedStrings.xml><?xml version="1.0" encoding="utf-8"?>
<sst xmlns="http://schemas.openxmlformats.org/spreadsheetml/2006/main" count="149" uniqueCount="80">
  <si>
    <t>DANH MỤC TÀI KHOẢN KẾ TOÁN (TT 133)</t>
  </si>
  <si>
    <t>Bảng danh mục tài khoản chuẩn dùng để tra cứu và làm Data Validation</t>
  </si>
  <si>
    <t>Số TK</t>
  </si>
  <si>
    <t>Tên Tài Khoản</t>
  </si>
  <si>
    <t>Loại TK</t>
  </si>
  <si>
    <t>Tính Chất</t>
  </si>
  <si>
    <t>111</t>
  </si>
  <si>
    <t>Tiền mặt</t>
  </si>
  <si>
    <t>Tài sản</t>
  </si>
  <si>
    <t>Nợ</t>
  </si>
  <si>
    <t>112</t>
  </si>
  <si>
    <t>Tiền gửi Ngân hàng</t>
  </si>
  <si>
    <t>131</t>
  </si>
  <si>
    <t>Phải thu của khách hàng</t>
  </si>
  <si>
    <t>Lưỡng tính</t>
  </si>
  <si>
    <t>152</t>
  </si>
  <si>
    <t>Nguyên liệu, vật liệu</t>
  </si>
  <si>
    <t>156</t>
  </si>
  <si>
    <t>Hàng hóa</t>
  </si>
  <si>
    <t>211</t>
  </si>
  <si>
    <t>Tài sản cố định hữu hình</t>
  </si>
  <si>
    <t>331</t>
  </si>
  <si>
    <t>Phải trả cho người bán</t>
  </si>
  <si>
    <t>Nợ phải trả</t>
  </si>
  <si>
    <t>333</t>
  </si>
  <si>
    <t>Thuế và các khoản nộp Nhà nước</t>
  </si>
  <si>
    <t>411</t>
  </si>
  <si>
    <t>Vốn đầu tư của chủ sở hữu</t>
  </si>
  <si>
    <t>Vốn chủ sở hữu</t>
  </si>
  <si>
    <t>Có</t>
  </si>
  <si>
    <t>511</t>
  </si>
  <si>
    <t>Doanh thu bán hàng và cung cấp dịch vụ</t>
  </si>
  <si>
    <t>Doanh thu</t>
  </si>
  <si>
    <t>632</t>
  </si>
  <si>
    <t>Giá vốn hàng bán</t>
  </si>
  <si>
    <t>Chi phí</t>
  </si>
  <si>
    <t>642</t>
  </si>
  <si>
    <t>Chi phí quản lý kinh doanh</t>
  </si>
  <si>
    <t>811</t>
  </si>
  <si>
    <t>Chi phí khác</t>
  </si>
  <si>
    <t>911</t>
  </si>
  <si>
    <t>Xác định kết quả kinh doanh</t>
  </si>
  <si>
    <t>Trung gian</t>
  </si>
  <si>
    <t>SỔ NHẬT KÝ CHUNG</t>
  </si>
  <si>
    <t>Ghi nhận tất cả các nghiệp vụ kinh tế phát sinh theo thời gian</t>
  </si>
  <si>
    <t>Ngày CT</t>
  </si>
  <si>
    <t>Số CT</t>
  </si>
  <si>
    <t>Diễn Giải</t>
  </si>
  <si>
    <t>TK Nợ</t>
  </si>
  <si>
    <t>TK Có</t>
  </si>
  <si>
    <t>Số Tiền</t>
  </si>
  <si>
    <t>Tên TK Nợ</t>
  </si>
  <si>
    <t>Tên TK Có</t>
  </si>
  <si>
    <t>Chủ sở hữu góp vốn điều lệ vào tài khoản ngân hàng</t>
  </si>
  <si>
    <t>Thanh toán chi phí thiết kế cho đối tác</t>
  </si>
  <si>
    <t>TỔNG CỘNG PHÁT SINH</t>
  </si>
  <si>
    <t>SỔ CÁI TÀI KHOẢN</t>
  </si>
  <si>
    <t>Chọn Số Tài Khoản:</t>
  </si>
  <si>
    <t>Diễn Giải TK</t>
  </si>
  <si>
    <t>TK Đối Ứng</t>
  </si>
  <si>
    <t>Phát Sinh Nợ</t>
  </si>
  <si>
    <t>Phát Sinh Có</t>
  </si>
  <si>
    <t>TỔNG PHÁT SINH</t>
  </si>
  <si>
    <t>BÁO CÁO TÀI CHÍNH &amp; CÂN ĐỐI PHÁT SINH</t>
  </si>
  <si>
    <t>Tổng hợp tự động từ Sổ Nhật Ký Chung</t>
  </si>
  <si>
    <t>TỔNG DOANH THU (511)</t>
  </si>
  <si>
    <t>TỔNG CHI PHÍ (642+632)</t>
  </si>
  <si>
    <t>LỢI NHUẬN TẠM TÍNH</t>
  </si>
  <si>
    <t>BẢNG CÂN ĐỐI PHÁT SINH TÀI KHOẢN</t>
  </si>
  <si>
    <t>Mã TK</t>
  </si>
  <si>
    <t>Dư Nợ / Dư Có</t>
  </si>
  <si>
    <t>TỔNG CỘNG</t>
  </si>
  <si>
    <t>KIỂM TRA CÂN ĐỐI:</t>
  </si>
  <si>
    <t>FT26205385988183</t>
  </si>
  <si>
    <t xml:space="preserve"> FT26205007714800</t>
  </si>
  <si>
    <t>24/07/2026</t>
  </si>
  <si>
    <t>29/07/2026</t>
  </si>
  <si>
    <t>FT26210552110060</t>
  </si>
  <si>
    <t>FT26210945141823</t>
  </si>
  <si>
    <t>FT26210920036908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</si>
</sst>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color rgb="FF3A242B"/>
      <name val="Segoe UI"/>
    </font>
    <font>
      <i/>
      <sz val="10"/>
      <color rgb="FF7D636B"/>
      <name val="Segoe UI"/>
    </font>
    <font>
      <b/>
      <sz val="11"/>
      <color rgb="FFFFFFFF"/>
      <name val="Segoe UI"/>
    </font>
    <font>
      <sz val="10"/>
      <color rgb="FF3A242B"/>
      <name val="Segoe UI"/>
    </font>
    <font>
      <b/>
      <sz val="10"/>
      <color rgb="FF3A242B"/>
      <name val="Segoe UI"/>
    </font>
    <font>
      <b/>
      <sz val="9"/>
      <color rgb="FF7D636B"/>
      <name val="Segoe UI"/>
    </font>
    <font>
      <b/>
      <sz val="18"/>
      <color rgb="FF3A242B"/>
      <name val="Segoe UI"/>
    </font>
    <font>
      <b/>
      <sz val="12"/>
      <color rgb="FF3A242B"/>
      <name val="Segoe UI"/>
    </font>
    <font>
      <b/>
      <sz val="11"/>
      <color rgb="FF008000"/>
      <name val="Segoe UI"/>
    </font>
    <font>
      <sz val="10"/>
      <color rgb="FF3A242B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3A242B"/>
        <bgColor rgb="FF3A242B"/>
      </patternFill>
    </fill>
    <fill>
      <patternFill patternType="solid">
        <fgColor rgb="FFFDF0F5"/>
        <bgColor rgb="FFFDF0F5"/>
      </patternFill>
    </fill>
    <fill>
      <patternFill patternType="solid">
        <fgColor rgb="FFFFFFFF"/>
        <bgColor rgb="FFFFFFFF"/>
      </patternFill>
    </fill>
    <fill>
      <patternFill patternType="solid">
        <fgColor rgb="FFFFF5F9"/>
        <bgColor rgb="FFFFF5F9"/>
      </patternFill>
    </fill>
  </fills>
  <borders count="3">
    <border>
      <left/>
      <right/>
      <top/>
      <bottom/>
      <diagonal/>
    </border>
    <border>
      <left style="thin">
        <color rgb="FFE8D5DC"/>
      </left>
      <right style="thin">
        <color rgb="FFE8D5DC"/>
      </right>
      <top style="thin">
        <color rgb="FFE8D5DC"/>
      </top>
      <bottom style="thin">
        <color rgb="FFE8D5DC"/>
      </bottom>
      <diagonal/>
    </border>
    <border>
      <left style="thin">
        <color rgb="FFE8D5DC"/>
      </left>
      <right style="thin">
        <color rgb="FFE8D5DC"/>
      </right>
      <top style="thin">
        <color rgb="FF3A242B"/>
      </top>
      <bottom style="double">
        <color rgb="FF3A242B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49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right" vertical="center"/>
    </xf>
    <xf numFmtId="0" fontId="0" fillId="5" borderId="2" xfId="0" applyFill="1" applyBorder="1"/>
    <xf numFmtId="0" fontId="5" fillId="5" borderId="2" xfId="0" applyFont="1" applyFill="1" applyBorder="1" applyAlignment="1">
      <alignment horizontal="right" vertical="center"/>
    </xf>
    <xf numFmtId="3" fontId="5" fillId="5" borderId="2" xfId="0" applyNumberFormat="1" applyFont="1" applyFill="1" applyBorder="1" applyAlignment="1">
      <alignment horizontal="right" vertical="center"/>
    </xf>
    <xf numFmtId="0" fontId="5" fillId="0" borderId="0" xfId="0" applyFont="1"/>
    <xf numFmtId="0" fontId="5" fillId="5" borderId="1" xfId="0" applyFont="1" applyFill="1" applyBorder="1" applyAlignment="1">
      <alignment horizontal="center" vertical="center"/>
    </xf>
    <xf numFmtId="0" fontId="5" fillId="5" borderId="2" xfId="0" applyFont="1" applyFill="1" applyBorder="1"/>
    <xf numFmtId="3" fontId="5" fillId="5" borderId="2" xfId="0" applyNumberFormat="1" applyFont="1" applyFill="1" applyBorder="1"/>
    <xf numFmtId="0" fontId="8" fillId="0" borderId="0" xfId="0" applyFont="1"/>
    <xf numFmtId="0" fontId="9" fillId="0" borderId="0" xfId="0" applyFont="1" applyAlignment="1">
      <alignment horizontal="left" vertical="center"/>
    </xf>
    <xf numFmtId="3" fontId="7" fillId="5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6" fillId="5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49" fontId="10" fillId="4" borderId="1" xfId="0" applyNumberFormat="1" applyFont="1" applyFill="1" applyBorder="1" applyAlignment="1">
      <alignment horizontal="center" vertical="center"/>
    </xf>
    <xf numFmtId="49" fontId="10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9"/>
  <sheetViews>
    <sheetView workbookViewId="0">
      <selection activeCell="B16" sqref="B16"/>
    </sheetView>
  </sheetViews>
  <sheetFormatPr defaultRowHeight="14.5" x14ac:dyDescent="0.35"/>
  <cols>
    <col min="1" max="1" width="23.6328125" customWidth="1"/>
    <col min="2" max="2" width="42" customWidth="1"/>
    <col min="3" max="3" width="18" customWidth="1"/>
    <col min="4" max="4" width="14" customWidth="1"/>
  </cols>
  <sheetData>
    <row r="2" spans="1:4" ht="25" x14ac:dyDescent="0.7">
      <c r="A2" s="1" t="s">
        <v>0</v>
      </c>
    </row>
    <row r="3" spans="1:4" ht="16" x14ac:dyDescent="0.45">
      <c r="A3" s="2" t="s">
        <v>1</v>
      </c>
    </row>
    <row r="5" spans="1:4" ht="16.5" x14ac:dyDescent="0.35">
      <c r="A5" s="3" t="s">
        <v>2</v>
      </c>
      <c r="B5" s="3" t="s">
        <v>3</v>
      </c>
      <c r="C5" s="3" t="s">
        <v>4</v>
      </c>
      <c r="D5" s="3" t="s">
        <v>5</v>
      </c>
    </row>
    <row r="6" spans="1:4" ht="16" x14ac:dyDescent="0.35">
      <c r="A6" s="4" t="s">
        <v>6</v>
      </c>
      <c r="B6" s="5" t="s">
        <v>7</v>
      </c>
      <c r="C6" s="5" t="s">
        <v>8</v>
      </c>
      <c r="D6" s="5" t="s">
        <v>9</v>
      </c>
    </row>
    <row r="7" spans="1:4" ht="16" x14ac:dyDescent="0.35">
      <c r="A7" s="6" t="s">
        <v>10</v>
      </c>
      <c r="B7" s="7" t="s">
        <v>11</v>
      </c>
      <c r="C7" s="7" t="s">
        <v>8</v>
      </c>
      <c r="D7" s="7" t="s">
        <v>9</v>
      </c>
    </row>
    <row r="8" spans="1:4" ht="16" x14ac:dyDescent="0.35">
      <c r="A8" s="4" t="s">
        <v>12</v>
      </c>
      <c r="B8" s="5" t="s">
        <v>13</v>
      </c>
      <c r="C8" s="5" t="s">
        <v>8</v>
      </c>
      <c r="D8" s="5" t="s">
        <v>14</v>
      </c>
    </row>
    <row r="9" spans="1:4" ht="16" x14ac:dyDescent="0.35">
      <c r="A9" s="6" t="s">
        <v>15</v>
      </c>
      <c r="B9" s="7" t="s">
        <v>16</v>
      </c>
      <c r="C9" s="7" t="s">
        <v>8</v>
      </c>
      <c r="D9" s="7" t="s">
        <v>9</v>
      </c>
    </row>
    <row r="10" spans="1:4" ht="16" x14ac:dyDescent="0.35">
      <c r="A10" s="4" t="s">
        <v>17</v>
      </c>
      <c r="B10" s="5" t="s">
        <v>18</v>
      </c>
      <c r="C10" s="5" t="s">
        <v>8</v>
      </c>
      <c r="D10" s="5" t="s">
        <v>9</v>
      </c>
    </row>
    <row r="11" spans="1:4" ht="16" x14ac:dyDescent="0.35">
      <c r="A11" s="6" t="s">
        <v>19</v>
      </c>
      <c r="B11" s="7" t="s">
        <v>20</v>
      </c>
      <c r="C11" s="7" t="s">
        <v>8</v>
      </c>
      <c r="D11" s="7" t="s">
        <v>9</v>
      </c>
    </row>
    <row r="12" spans="1:4" ht="16" x14ac:dyDescent="0.35">
      <c r="A12" s="4" t="s">
        <v>21</v>
      </c>
      <c r="B12" s="5" t="s">
        <v>22</v>
      </c>
      <c r="C12" s="5" t="s">
        <v>23</v>
      </c>
      <c r="D12" s="5" t="s">
        <v>14</v>
      </c>
    </row>
    <row r="13" spans="1:4" ht="16" x14ac:dyDescent="0.35">
      <c r="A13" s="6" t="s">
        <v>24</v>
      </c>
      <c r="B13" s="7" t="s">
        <v>25</v>
      </c>
      <c r="C13" s="7" t="s">
        <v>23</v>
      </c>
      <c r="D13" s="7" t="s">
        <v>14</v>
      </c>
    </row>
    <row r="14" spans="1:4" ht="16" x14ac:dyDescent="0.35">
      <c r="A14" s="4" t="s">
        <v>26</v>
      </c>
      <c r="B14" s="5" t="s">
        <v>27</v>
      </c>
      <c r="C14" s="5" t="s">
        <v>28</v>
      </c>
      <c r="D14" s="5" t="s">
        <v>29</v>
      </c>
    </row>
    <row r="15" spans="1:4" ht="16" x14ac:dyDescent="0.35">
      <c r="A15" s="6" t="s">
        <v>30</v>
      </c>
      <c r="B15" s="7" t="s">
        <v>31</v>
      </c>
      <c r="C15" s="7" t="s">
        <v>32</v>
      </c>
      <c r="D15" s="7" t="s">
        <v>29</v>
      </c>
    </row>
    <row r="16" spans="1:4" ht="16" x14ac:dyDescent="0.35">
      <c r="A16" s="4" t="s">
        <v>33</v>
      </c>
      <c r="B16" s="5" t="s">
        <v>34</v>
      </c>
      <c r="C16" s="5" t="s">
        <v>35</v>
      </c>
      <c r="D16" s="5" t="s">
        <v>9</v>
      </c>
    </row>
    <row r="17" spans="1:4" ht="16" x14ac:dyDescent="0.35">
      <c r="A17" s="6" t="s">
        <v>36</v>
      </c>
      <c r="B17" s="7" t="s">
        <v>37</v>
      </c>
      <c r="C17" s="7" t="s">
        <v>35</v>
      </c>
      <c r="D17" s="7" t="s">
        <v>9</v>
      </c>
    </row>
    <row r="18" spans="1:4" ht="16" x14ac:dyDescent="0.35">
      <c r="A18" s="4" t="s">
        <v>38</v>
      </c>
      <c r="B18" s="5" t="s">
        <v>39</v>
      </c>
      <c r="C18" s="5" t="s">
        <v>39</v>
      </c>
      <c r="D18" s="5" t="s">
        <v>9</v>
      </c>
    </row>
    <row r="19" spans="1:4" ht="16" x14ac:dyDescent="0.35">
      <c r="A19" s="6" t="s">
        <v>40</v>
      </c>
      <c r="B19" s="7" t="s">
        <v>41</v>
      </c>
      <c r="C19" s="7" t="s">
        <v>42</v>
      </c>
      <c r="D19" s="7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36"/>
  <sheetViews>
    <sheetView tabSelected="1" workbookViewId="0">
      <selection activeCell="H18" sqref="H18"/>
    </sheetView>
  </sheetViews>
  <sheetFormatPr defaultRowHeight="14.5" x14ac:dyDescent="0.35"/>
  <cols>
    <col min="1" max="1" width="14.7265625" customWidth="1"/>
    <col min="2" max="2" width="19.1796875" customWidth="1"/>
    <col min="3" max="3" width="54" customWidth="1"/>
    <col min="4" max="5" width="12" customWidth="1"/>
    <col min="6" max="6" width="16" customWidth="1"/>
    <col min="7" max="8" width="30.7265625" customWidth="1"/>
  </cols>
  <sheetData>
    <row r="2" spans="1:8" ht="25" x14ac:dyDescent="0.7">
      <c r="A2" s="1" t="s">
        <v>43</v>
      </c>
    </row>
    <row r="3" spans="1:8" ht="16" x14ac:dyDescent="0.45">
      <c r="A3" s="2" t="s">
        <v>44</v>
      </c>
    </row>
    <row r="5" spans="1:8" ht="28" customHeight="1" x14ac:dyDescent="0.35">
      <c r="A5" s="3" t="s">
        <v>45</v>
      </c>
      <c r="B5" s="3" t="s">
        <v>46</v>
      </c>
      <c r="C5" s="3" t="s">
        <v>47</v>
      </c>
      <c r="D5" s="3" t="s">
        <v>48</v>
      </c>
      <c r="E5" s="3" t="s">
        <v>49</v>
      </c>
      <c r="F5" s="3" t="s">
        <v>50</v>
      </c>
      <c r="G5" s="3" t="s">
        <v>51</v>
      </c>
      <c r="H5" s="3" t="s">
        <v>52</v>
      </c>
    </row>
    <row r="6" spans="1:8" ht="16" x14ac:dyDescent="0.35">
      <c r="A6" s="8" t="s">
        <v>75</v>
      </c>
      <c r="B6" s="4" t="s">
        <v>73</v>
      </c>
      <c r="C6" s="26" t="s">
        <v>53</v>
      </c>
      <c r="D6" s="4" t="s">
        <v>10</v>
      </c>
      <c r="E6" s="4" t="s">
        <v>26</v>
      </c>
      <c r="F6" s="9">
        <v>50000000</v>
      </c>
      <c r="G6" s="5" t="str">
        <f>IFERROR(VLOOKUP(D6, 'DANH MỤC TK'!$A$6:$B$100, 2, FALSE), "")</f>
        <v>Tiền gửi Ngân hàng</v>
      </c>
      <c r="H6" s="5" t="str">
        <f>IFERROR(VLOOKUP(E6, 'DANH MỤC TK'!$A$6:$B$100, 2, FALSE), "")</f>
        <v>Vốn đầu tư của chủ sở hữu</v>
      </c>
    </row>
    <row r="7" spans="1:8" ht="16" x14ac:dyDescent="0.35">
      <c r="A7" s="10" t="s">
        <v>75</v>
      </c>
      <c r="B7" s="6" t="s">
        <v>74</v>
      </c>
      <c r="C7" s="7" t="s">
        <v>54</v>
      </c>
      <c r="D7" s="6" t="s">
        <v>36</v>
      </c>
      <c r="E7" s="6" t="s">
        <v>10</v>
      </c>
      <c r="F7" s="11">
        <v>4900000</v>
      </c>
      <c r="G7" s="7" t="str">
        <f>IFERROR(VLOOKUP(D7, 'DANH MỤC TK'!$A$6:$B$100, 2, FALSE), "")</f>
        <v>Chi phí quản lý kinh doanh</v>
      </c>
      <c r="H7" s="7" t="str">
        <f>IFERROR(VLOOKUP(E7, 'DANH MỤC TK'!$A$6:$B$100, 2, FALSE), "")</f>
        <v>Tiền gửi Ngân hàng</v>
      </c>
    </row>
    <row r="8" spans="1:8" ht="16" x14ac:dyDescent="0.35">
      <c r="A8" s="24" t="s">
        <v>76</v>
      </c>
      <c r="B8" s="4" t="s">
        <v>77</v>
      </c>
      <c r="C8" s="5" t="s">
        <v>53</v>
      </c>
      <c r="D8" s="4" t="s">
        <v>10</v>
      </c>
      <c r="E8" s="4" t="s">
        <v>26</v>
      </c>
      <c r="F8" s="9">
        <v>300000000</v>
      </c>
      <c r="G8" s="5" t="str">
        <f>IFERROR(VLOOKUP(D8, 'DANH MỤC TK'!$A$6:$B$100, 2, FALSE), "")</f>
        <v>Tiền gửi Ngân hàng</v>
      </c>
      <c r="H8" s="5" t="str">
        <f>IFERROR(VLOOKUP(E8, 'DANH MỤC TK'!$A$6:$B$100, 2, FALSE), "")</f>
        <v>Vốn đầu tư của chủ sở hữu</v>
      </c>
    </row>
    <row r="9" spans="1:8" ht="16" x14ac:dyDescent="0.35">
      <c r="A9" s="25" t="s">
        <v>76</v>
      </c>
      <c r="B9" s="28" t="s">
        <v>79</v>
      </c>
      <c r="C9" s="27" t="s">
        <v>53</v>
      </c>
      <c r="D9" s="6" t="s">
        <v>10</v>
      </c>
      <c r="E9" s="6" t="s">
        <v>26</v>
      </c>
      <c r="F9" s="11">
        <v>350000000</v>
      </c>
      <c r="G9" s="7" t="str">
        <f>IFERROR(VLOOKUP(D9, 'DANH MỤC TK'!$A$6:$B$100, 2, FALSE), "")</f>
        <v>Tiền gửi Ngân hàng</v>
      </c>
      <c r="H9" s="7" t="str">
        <f>IFERROR(VLOOKUP(E9, 'DANH MỤC TK'!$A$6:$B$100, 2, FALSE), "")</f>
        <v>Vốn đầu tư của chủ sở hữu</v>
      </c>
    </row>
    <row r="10" spans="1:8" ht="16" x14ac:dyDescent="0.35">
      <c r="A10" s="24" t="s">
        <v>76</v>
      </c>
      <c r="B10" s="29" t="s">
        <v>78</v>
      </c>
      <c r="C10" s="5" t="s">
        <v>53</v>
      </c>
      <c r="D10" s="4" t="s">
        <v>10</v>
      </c>
      <c r="E10" s="4" t="s">
        <v>26</v>
      </c>
      <c r="F10" s="9">
        <v>300000000</v>
      </c>
      <c r="G10" s="5" t="str">
        <f>IFERROR(VLOOKUP(D10, 'DANH MỤC TK'!$A$6:$B$100, 2, FALSE), "")</f>
        <v>Tiền gửi Ngân hàng</v>
      </c>
      <c r="H10" s="5" t="str">
        <f>IFERROR(VLOOKUP(E10, 'DANH MỤC TK'!$A$6:$B$100, 2, FALSE), "")</f>
        <v>Vốn đầu tư của chủ sở hữu</v>
      </c>
    </row>
    <row r="11" spans="1:8" ht="16" x14ac:dyDescent="0.35">
      <c r="A11" s="10"/>
      <c r="B11" s="6"/>
      <c r="C11" s="7"/>
      <c r="D11" s="6"/>
      <c r="E11" s="6"/>
      <c r="F11" s="11"/>
      <c r="G11" s="7" t="str">
        <f>IFERROR(VLOOKUP(D11, 'DANH MỤC TK'!$A$6:$B$100, 2, FALSE), "")</f>
        <v/>
      </c>
      <c r="H11" s="7" t="str">
        <f>IFERROR(VLOOKUP(E11, 'DANH MỤC TK'!$A$6:$B$100, 2, FALSE), "")</f>
        <v/>
      </c>
    </row>
    <row r="12" spans="1:8" ht="16" x14ac:dyDescent="0.35">
      <c r="A12" s="8"/>
      <c r="B12" s="4"/>
      <c r="C12" s="5"/>
      <c r="D12" s="4"/>
      <c r="E12" s="4"/>
      <c r="F12" s="9"/>
      <c r="G12" s="5" t="str">
        <f>IFERROR(VLOOKUP(D12, 'DANH MỤC TK'!$A$6:$B$100, 2, FALSE), "")</f>
        <v/>
      </c>
      <c r="H12" s="5" t="str">
        <f>IFERROR(VLOOKUP(E12, 'DANH MỤC TK'!$A$6:$B$100, 2, FALSE), "")</f>
        <v/>
      </c>
    </row>
    <row r="13" spans="1:8" ht="16" x14ac:dyDescent="0.35">
      <c r="A13" s="10"/>
      <c r="B13" s="6"/>
      <c r="C13" s="7"/>
      <c r="D13" s="6"/>
      <c r="E13" s="6"/>
      <c r="F13" s="11"/>
      <c r="G13" s="7" t="str">
        <f>IFERROR(VLOOKUP(D13, 'DANH MỤC TK'!$A$6:$B$100, 2, FALSE), "")</f>
        <v/>
      </c>
      <c r="H13" s="7" t="str">
        <f>IFERROR(VLOOKUP(E13, 'DANH MỤC TK'!$A$6:$B$100, 2, FALSE), "")</f>
        <v/>
      </c>
    </row>
    <row r="14" spans="1:8" ht="16" x14ac:dyDescent="0.35">
      <c r="A14" s="8"/>
      <c r="B14" s="4"/>
      <c r="C14" s="5"/>
      <c r="D14" s="4"/>
      <c r="E14" s="4"/>
      <c r="F14" s="9"/>
      <c r="G14" s="5" t="str">
        <f>IFERROR(VLOOKUP(D14, 'DANH MỤC TK'!$A$6:$B$100, 2, FALSE), "")</f>
        <v/>
      </c>
      <c r="H14" s="5" t="str">
        <f>IFERROR(VLOOKUP(E14, 'DANH MỤC TK'!$A$6:$B$100, 2, FALSE), "")</f>
        <v/>
      </c>
    </row>
    <row r="15" spans="1:8" ht="16" x14ac:dyDescent="0.35">
      <c r="A15" s="10"/>
      <c r="B15" s="6"/>
      <c r="C15" s="7"/>
      <c r="D15" s="6"/>
      <c r="E15" s="6"/>
      <c r="F15" s="11"/>
      <c r="G15" s="7" t="str">
        <f>IFERROR(VLOOKUP(D15, 'DANH MỤC TK'!$A$6:$B$100, 2, FALSE), "")</f>
        <v/>
      </c>
      <c r="H15" s="7" t="str">
        <f>IFERROR(VLOOKUP(E15, 'DANH MỤC TK'!$A$6:$B$100, 2, FALSE), "")</f>
        <v/>
      </c>
    </row>
    <row r="16" spans="1:8" ht="16" x14ac:dyDescent="0.35">
      <c r="A16" s="8"/>
      <c r="B16" s="4"/>
      <c r="C16" s="5"/>
      <c r="D16" s="4"/>
      <c r="E16" s="4"/>
      <c r="F16" s="9"/>
      <c r="G16" s="5" t="str">
        <f>IFERROR(VLOOKUP(D16, 'DANH MỤC TK'!$A$6:$B$100, 2, FALSE), "")</f>
        <v/>
      </c>
      <c r="H16" s="5" t="str">
        <f>IFERROR(VLOOKUP(E16, 'DANH MỤC TK'!$A$6:$B$100, 2, FALSE), "")</f>
        <v/>
      </c>
    </row>
    <row r="17" spans="1:8" ht="16" x14ac:dyDescent="0.35">
      <c r="A17" s="10"/>
      <c r="B17" s="6"/>
      <c r="C17" s="7"/>
      <c r="D17" s="6"/>
      <c r="E17" s="6"/>
      <c r="F17" s="11"/>
      <c r="G17" s="7" t="str">
        <f>IFERROR(VLOOKUP(D17, 'DANH MỤC TK'!$A$6:$B$100, 2, FALSE), "")</f>
        <v/>
      </c>
      <c r="H17" s="7" t="str">
        <f>IFERROR(VLOOKUP(E17, 'DANH MỤC TK'!$A$6:$B$100, 2, FALSE), "")</f>
        <v/>
      </c>
    </row>
    <row r="18" spans="1:8" ht="16" x14ac:dyDescent="0.35">
      <c r="A18" s="8"/>
      <c r="B18" s="4"/>
      <c r="C18" s="5"/>
      <c r="D18" s="4"/>
      <c r="E18" s="4"/>
      <c r="F18" s="9"/>
      <c r="G18" s="5" t="str">
        <f>IFERROR(VLOOKUP(D18, 'DANH MỤC TK'!$A$6:$B$100, 2, FALSE), "")</f>
        <v/>
      </c>
      <c r="H18" s="5" t="str">
        <f>IFERROR(VLOOKUP(E18, 'DANH MỤC TK'!$A$6:$B$100, 2, FALSE), "")</f>
        <v/>
      </c>
    </row>
    <row r="19" spans="1:8" ht="16" x14ac:dyDescent="0.35">
      <c r="A19" s="10"/>
      <c r="B19" s="6"/>
      <c r="C19" s="7"/>
      <c r="D19" s="6"/>
      <c r="E19" s="6"/>
      <c r="F19" s="11"/>
      <c r="G19" s="7" t="str">
        <f>IFERROR(VLOOKUP(D19, 'DANH MỤC TK'!$A$6:$B$100, 2, FALSE), "")</f>
        <v/>
      </c>
      <c r="H19" s="7" t="str">
        <f>IFERROR(VLOOKUP(E19, 'DANH MỤC TK'!$A$6:$B$100, 2, FALSE), "")</f>
        <v/>
      </c>
    </row>
    <row r="20" spans="1:8" ht="16" x14ac:dyDescent="0.35">
      <c r="A20" s="8"/>
      <c r="B20" s="4"/>
      <c r="C20" s="5"/>
      <c r="D20" s="4"/>
      <c r="E20" s="4"/>
      <c r="F20" s="9"/>
      <c r="G20" s="5" t="str">
        <f>IFERROR(VLOOKUP(D20, 'DANH MỤC TK'!$A$6:$B$100, 2, FALSE), "")</f>
        <v/>
      </c>
      <c r="H20" s="5" t="str">
        <f>IFERROR(VLOOKUP(E20, 'DANH MỤC TK'!$A$6:$B$100, 2, FALSE), "")</f>
        <v/>
      </c>
    </row>
    <row r="21" spans="1:8" ht="16" x14ac:dyDescent="0.35">
      <c r="A21" s="10"/>
      <c r="B21" s="6"/>
      <c r="C21" s="7"/>
      <c r="D21" s="6"/>
      <c r="E21" s="6"/>
      <c r="F21" s="11"/>
      <c r="G21" s="7" t="str">
        <f>IFERROR(VLOOKUP(D21, 'DANH MỤC TK'!$A$6:$B$100, 2, FALSE), "")</f>
        <v/>
      </c>
      <c r="H21" s="7" t="str">
        <f>IFERROR(VLOOKUP(E21, 'DANH MỤC TK'!$A$6:$B$100, 2, FALSE), "")</f>
        <v/>
      </c>
    </row>
    <row r="22" spans="1:8" ht="16" x14ac:dyDescent="0.35">
      <c r="A22" s="8"/>
      <c r="B22" s="4"/>
      <c r="C22" s="5"/>
      <c r="D22" s="4"/>
      <c r="E22" s="4"/>
      <c r="F22" s="9"/>
      <c r="G22" s="5" t="str">
        <f>IFERROR(VLOOKUP(D22, 'DANH MỤC TK'!$A$6:$B$100, 2, FALSE), "")</f>
        <v/>
      </c>
      <c r="H22" s="5" t="str">
        <f>IFERROR(VLOOKUP(E22, 'DANH MỤC TK'!$A$6:$B$100, 2, FALSE), "")</f>
        <v/>
      </c>
    </row>
    <row r="23" spans="1:8" ht="16" x14ac:dyDescent="0.35">
      <c r="A23" s="10"/>
      <c r="B23" s="6"/>
      <c r="C23" s="7"/>
      <c r="D23" s="6"/>
      <c r="E23" s="6"/>
      <c r="F23" s="11"/>
      <c r="G23" s="7" t="str">
        <f>IFERROR(VLOOKUP(D23, 'DANH MỤC TK'!$A$6:$B$100, 2, FALSE), "")</f>
        <v/>
      </c>
      <c r="H23" s="7" t="str">
        <f>IFERROR(VLOOKUP(E23, 'DANH MỤC TK'!$A$6:$B$100, 2, FALSE), "")</f>
        <v/>
      </c>
    </row>
    <row r="24" spans="1:8" ht="16" x14ac:dyDescent="0.35">
      <c r="A24" s="8"/>
      <c r="B24" s="4"/>
      <c r="C24" s="5"/>
      <c r="D24" s="4"/>
      <c r="E24" s="4"/>
      <c r="F24" s="9"/>
      <c r="G24" s="5" t="str">
        <f>IFERROR(VLOOKUP(D24, 'DANH MỤC TK'!$A$6:$B$100, 2, FALSE), "")</f>
        <v/>
      </c>
      <c r="H24" s="5" t="str">
        <f>IFERROR(VLOOKUP(E24, 'DANH MỤC TK'!$A$6:$B$100, 2, FALSE), "")</f>
        <v/>
      </c>
    </row>
    <row r="25" spans="1:8" ht="16" x14ac:dyDescent="0.35">
      <c r="A25" s="10"/>
      <c r="B25" s="6"/>
      <c r="C25" s="7"/>
      <c r="D25" s="6"/>
      <c r="E25" s="6"/>
      <c r="F25" s="11"/>
      <c r="G25" s="7" t="str">
        <f>IFERROR(VLOOKUP(D25, 'DANH MỤC TK'!$A$6:$B$100, 2, FALSE), "")</f>
        <v/>
      </c>
      <c r="H25" s="7" t="str">
        <f>IFERROR(VLOOKUP(E25, 'DANH MỤC TK'!$A$6:$B$100, 2, FALSE), "")</f>
        <v/>
      </c>
    </row>
    <row r="26" spans="1:8" ht="16" x14ac:dyDescent="0.35">
      <c r="A26" s="8"/>
      <c r="B26" s="4"/>
      <c r="C26" s="5"/>
      <c r="D26" s="4"/>
      <c r="E26" s="4"/>
      <c r="F26" s="9"/>
      <c r="G26" s="5" t="str">
        <f>IFERROR(VLOOKUP(D26, 'DANH MỤC TK'!$A$6:$B$100, 2, FALSE), "")</f>
        <v/>
      </c>
      <c r="H26" s="5" t="str">
        <f>IFERROR(VLOOKUP(E26, 'DANH MỤC TK'!$A$6:$B$100, 2, FALSE), "")</f>
        <v/>
      </c>
    </row>
    <row r="27" spans="1:8" ht="16" x14ac:dyDescent="0.35">
      <c r="A27" s="10"/>
      <c r="B27" s="6"/>
      <c r="C27" s="7"/>
      <c r="D27" s="6"/>
      <c r="E27" s="6"/>
      <c r="F27" s="11"/>
      <c r="G27" s="7" t="str">
        <f>IFERROR(VLOOKUP(D27, 'DANH MỤC TK'!$A$6:$B$100, 2, FALSE), "")</f>
        <v/>
      </c>
      <c r="H27" s="7" t="str">
        <f>IFERROR(VLOOKUP(E27, 'DANH MỤC TK'!$A$6:$B$100, 2, FALSE), "")</f>
        <v/>
      </c>
    </row>
    <row r="28" spans="1:8" ht="16" x14ac:dyDescent="0.35">
      <c r="A28" s="8"/>
      <c r="B28" s="4"/>
      <c r="C28" s="5"/>
      <c r="D28" s="4"/>
      <c r="E28" s="4"/>
      <c r="F28" s="9"/>
      <c r="G28" s="5" t="str">
        <f>IFERROR(VLOOKUP(D28, 'DANH MỤC TK'!$A$6:$B$100, 2, FALSE), "")</f>
        <v/>
      </c>
      <c r="H28" s="5" t="str">
        <f>IFERROR(VLOOKUP(E28, 'DANH MỤC TK'!$A$6:$B$100, 2, FALSE), "")</f>
        <v/>
      </c>
    </row>
    <row r="29" spans="1:8" ht="16" x14ac:dyDescent="0.35">
      <c r="A29" s="10"/>
      <c r="B29" s="6"/>
      <c r="C29" s="7"/>
      <c r="D29" s="6"/>
      <c r="E29" s="6"/>
      <c r="F29" s="11"/>
      <c r="G29" s="7" t="str">
        <f>IFERROR(VLOOKUP(D29, 'DANH MỤC TK'!$A$6:$B$100, 2, FALSE), "")</f>
        <v/>
      </c>
      <c r="H29" s="7" t="str">
        <f>IFERROR(VLOOKUP(E29, 'DANH MỤC TK'!$A$6:$B$100, 2, FALSE), "")</f>
        <v/>
      </c>
    </row>
    <row r="30" spans="1:8" ht="16" x14ac:dyDescent="0.35">
      <c r="A30" s="8"/>
      <c r="B30" s="4"/>
      <c r="C30" s="5"/>
      <c r="D30" s="4"/>
      <c r="E30" s="4"/>
      <c r="F30" s="9"/>
      <c r="G30" s="5" t="str">
        <f>IFERROR(VLOOKUP(D30, 'DANH MỤC TK'!$A$6:$B$100, 2, FALSE), "")</f>
        <v/>
      </c>
      <c r="H30" s="5" t="str">
        <f>IFERROR(VLOOKUP(E30, 'DANH MỤC TK'!$A$6:$B$100, 2, FALSE), "")</f>
        <v/>
      </c>
    </row>
    <row r="31" spans="1:8" ht="16" x14ac:dyDescent="0.35">
      <c r="A31" s="10"/>
      <c r="B31" s="6"/>
      <c r="C31" s="7"/>
      <c r="D31" s="6"/>
      <c r="E31" s="6"/>
      <c r="F31" s="11"/>
      <c r="G31" s="7" t="str">
        <f>IFERROR(VLOOKUP(D31, 'DANH MỤC TK'!$A$6:$B$100, 2, FALSE), "")</f>
        <v/>
      </c>
      <c r="H31" s="7" t="str">
        <f>IFERROR(VLOOKUP(E31, 'DANH MỤC TK'!$A$6:$B$100, 2, FALSE), "")</f>
        <v/>
      </c>
    </row>
    <row r="32" spans="1:8" ht="16" x14ac:dyDescent="0.35">
      <c r="A32" s="8"/>
      <c r="B32" s="4"/>
      <c r="C32" s="5"/>
      <c r="D32" s="4"/>
      <c r="E32" s="4"/>
      <c r="F32" s="9"/>
      <c r="G32" s="5" t="str">
        <f>IFERROR(VLOOKUP(D32, 'DANH MỤC TK'!$A$6:$B$100, 2, FALSE), "")</f>
        <v/>
      </c>
      <c r="H32" s="5" t="str">
        <f>IFERROR(VLOOKUP(E32, 'DANH MỤC TK'!$A$6:$B$100, 2, FALSE), "")</f>
        <v/>
      </c>
    </row>
    <row r="33" spans="1:8" ht="16" x14ac:dyDescent="0.35">
      <c r="A33" s="10"/>
      <c r="B33" s="6"/>
      <c r="C33" s="7"/>
      <c r="D33" s="6"/>
      <c r="E33" s="6"/>
      <c r="F33" s="11"/>
      <c r="G33" s="7" t="str">
        <f>IFERROR(VLOOKUP(D33, 'DANH MỤC TK'!$A$6:$B$100, 2, FALSE), "")</f>
        <v/>
      </c>
      <c r="H33" s="7" t="str">
        <f>IFERROR(VLOOKUP(E33, 'DANH MỤC TK'!$A$6:$B$100, 2, FALSE), "")</f>
        <v/>
      </c>
    </row>
    <row r="34" spans="1:8" ht="16" x14ac:dyDescent="0.35">
      <c r="A34" s="8"/>
      <c r="B34" s="4"/>
      <c r="C34" s="5"/>
      <c r="D34" s="4"/>
      <c r="E34" s="4"/>
      <c r="F34" s="9"/>
      <c r="G34" s="5" t="str">
        <f>IFERROR(VLOOKUP(D34, 'DANH MỤC TK'!$A$6:$B$100, 2, FALSE), "")</f>
        <v/>
      </c>
      <c r="H34" s="5" t="str">
        <f>IFERROR(VLOOKUP(E34, 'DANH MỤC TK'!$A$6:$B$100, 2, FALSE), "")</f>
        <v/>
      </c>
    </row>
    <row r="35" spans="1:8" ht="16" x14ac:dyDescent="0.35">
      <c r="A35" s="10"/>
      <c r="B35" s="6"/>
      <c r="C35" s="7"/>
      <c r="D35" s="6"/>
      <c r="E35" s="6"/>
      <c r="F35" s="11"/>
      <c r="G35" s="7" t="str">
        <f>IFERROR(VLOOKUP(D35, 'DANH MỤC TK'!$A$6:$B$100, 2, FALSE), "")</f>
        <v/>
      </c>
      <c r="H35" s="7" t="str">
        <f>IFERROR(VLOOKUP(E35, 'DANH MỤC TK'!$A$6:$B$100, 2, FALSE), "")</f>
        <v/>
      </c>
    </row>
    <row r="36" spans="1:8" ht="16" x14ac:dyDescent="0.35">
      <c r="A36" s="12"/>
      <c r="B36" s="12"/>
      <c r="C36" s="13" t="s">
        <v>55</v>
      </c>
      <c r="D36" s="12"/>
      <c r="E36" s="12"/>
      <c r="F36" s="14">
        <f>SUM(F6:F35)</f>
        <v>1004900000</v>
      </c>
      <c r="G36" s="12"/>
      <c r="H36" s="12"/>
    </row>
  </sheetData>
  <pageMargins left="0.75" right="0.75" top="1" bottom="1" header="0.5" footer="0.5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100-000000000000}">
          <x14:formula1>
            <xm:f>'DANH MỤC TK'!$A$6:$A$19</xm:f>
          </x14:formula1>
          <xm:sqref>D6:E35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32"/>
  <sheetViews>
    <sheetView workbookViewId="0">
      <selection activeCell="C5" sqref="C5"/>
    </sheetView>
  </sheetViews>
  <sheetFormatPr defaultRowHeight="14.5" x14ac:dyDescent="0.35"/>
  <cols>
    <col min="1" max="1" width="19.08984375" customWidth="1"/>
    <col min="2" max="2" width="22.81640625" customWidth="1"/>
    <col min="3" max="3" width="46" customWidth="1"/>
    <col min="4" max="4" width="14" customWidth="1"/>
    <col min="5" max="6" width="32.453125" customWidth="1"/>
  </cols>
  <sheetData>
    <row r="2" spans="1:6" ht="25" x14ac:dyDescent="0.7">
      <c r="A2" s="1" t="s">
        <v>56</v>
      </c>
    </row>
    <row r="4" spans="1:6" ht="16" x14ac:dyDescent="0.45">
      <c r="A4" s="15" t="s">
        <v>57</v>
      </c>
      <c r="B4" s="16" t="s">
        <v>10</v>
      </c>
      <c r="C4" s="15" t="str">
        <f>IFERROR("Tên TK: " &amp; VLOOKUP(B4, 'DANH MỤC TK'!$A$6:$B$100, 2, FALSE), "")</f>
        <v>Tên TK: Tiền gửi Ngân hàng</v>
      </c>
    </row>
    <row r="6" spans="1:6" ht="16.5" x14ac:dyDescent="0.35">
      <c r="A6" s="3" t="s">
        <v>45</v>
      </c>
      <c r="B6" s="3" t="s">
        <v>46</v>
      </c>
      <c r="C6" s="3" t="s">
        <v>58</v>
      </c>
      <c r="D6" s="3" t="s">
        <v>59</v>
      </c>
      <c r="E6" s="3" t="s">
        <v>60</v>
      </c>
      <c r="F6" s="3" t="s">
        <v>61</v>
      </c>
    </row>
    <row r="7" spans="1:6" ht="16" x14ac:dyDescent="0.35">
      <c r="A7" s="10" t="str">
        <f>IF(OR('NHẬT KÝ CHUNG'!D6=$B$4, 'NHẬT KÝ CHUNG'!E6=$B$4), 'NHẬT KÝ CHUNG'!A6, "")</f>
        <v>24/07/2026</v>
      </c>
      <c r="B7" s="10" t="str">
        <f>IF(OR('NHẬT KÝ CHUNG'!D6=$B$4, 'NHẬT KÝ CHUNG'!E6=$B$4), 'NHẬT KÝ CHUNG'!B6, "")</f>
        <v>FT26205385988183</v>
      </c>
      <c r="C7" s="7" t="str">
        <f>IF(OR('NHẬT KÝ CHUNG'!D6=$B$4, 'NHẬT KÝ CHUNG'!E6=$B$4), 'NHẬT KÝ CHUNG'!C6, "")</f>
        <v>Chủ sở hữu góp vốn điều lệ vào tài khoản ngân hàng</v>
      </c>
      <c r="D7" s="10" t="str">
        <f>IF('NHẬT KÝ CHUNG'!D6=$B$4, 'NHẬT KÝ CHUNG'!E6, IF('NHẬT KÝ CHUNG'!E6=$B$4, 'NHẬT KÝ CHUNG'!D6, ""))</f>
        <v>411</v>
      </c>
      <c r="E7" s="11">
        <f>IF('NHẬT KÝ CHUNG'!D6=$B$4, 'NHẬT KÝ CHUNG'!F6, 0)</f>
        <v>50000000</v>
      </c>
      <c r="F7" s="11">
        <f>IF('NHẬT KÝ CHUNG'!E6=$B$4, 'NHẬT KÝ CHUNG'!F6, 0)</f>
        <v>0</v>
      </c>
    </row>
    <row r="8" spans="1:6" ht="16" x14ac:dyDescent="0.35">
      <c r="A8" s="8" t="str">
        <f>IF(OR('NHẬT KÝ CHUNG'!D7=$B$4, 'NHẬT KÝ CHUNG'!E7=$B$4), 'NHẬT KÝ CHUNG'!A7, "")</f>
        <v>24/07/2026</v>
      </c>
      <c r="B8" s="8" t="str">
        <f>IF(OR('NHẬT KÝ CHUNG'!D7=$B$4, 'NHẬT KÝ CHUNG'!E7=$B$4), 'NHẬT KÝ CHUNG'!B7, "")</f>
        <v xml:space="preserve"> FT26205007714800</v>
      </c>
      <c r="C8" s="5" t="str">
        <f>IF(OR('NHẬT KÝ CHUNG'!D7=$B$4, 'NHẬT KÝ CHUNG'!E7=$B$4), 'NHẬT KÝ CHUNG'!C7, "")</f>
        <v>Thanh toán chi phí thiết kế cho đối tác</v>
      </c>
      <c r="D8" s="8" t="str">
        <f>IF('NHẬT KÝ CHUNG'!D7=$B$4, 'NHẬT KÝ CHUNG'!E7, IF('NHẬT KÝ CHUNG'!E7=$B$4, 'NHẬT KÝ CHUNG'!D7, ""))</f>
        <v>642</v>
      </c>
      <c r="E8" s="9">
        <f>IF('NHẬT KÝ CHUNG'!D7=$B$4, 'NHẬT KÝ CHUNG'!F7, 0)</f>
        <v>0</v>
      </c>
      <c r="F8" s="9">
        <f>IF('NHẬT KÝ CHUNG'!E7=$B$4, 'NHẬT KÝ CHUNG'!F7, 0)</f>
        <v>4900000</v>
      </c>
    </row>
    <row r="9" spans="1:6" ht="16" x14ac:dyDescent="0.35">
      <c r="A9" s="10" t="str">
        <f>IF(OR('NHẬT KÝ CHUNG'!D8=$B$4, 'NHẬT KÝ CHUNG'!E8=$B$4), 'NHẬT KÝ CHUNG'!A8, "")</f>
        <v>29/07/2026</v>
      </c>
      <c r="B9" s="10" t="str">
        <f>IF(OR('NHẬT KÝ CHUNG'!D8=$B$4, 'NHẬT KÝ CHUNG'!E8=$B$4), 'NHẬT KÝ CHUNG'!B8, "")</f>
        <v>FT26210552110060</v>
      </c>
      <c r="C9" s="7" t="str">
        <f>IF(OR('NHẬT KÝ CHUNG'!D8=$B$4, 'NHẬT KÝ CHUNG'!E8=$B$4), 'NHẬT KÝ CHUNG'!C8, "")</f>
        <v>Chủ sở hữu góp vốn điều lệ vào tài khoản ngân hàng</v>
      </c>
      <c r="D9" s="10" t="str">
        <f>IF('NHẬT KÝ CHUNG'!D8=$B$4, 'NHẬT KÝ CHUNG'!E8, IF('NHẬT KÝ CHUNG'!E8=$B$4, 'NHẬT KÝ CHUNG'!D8, ""))</f>
        <v>411</v>
      </c>
      <c r="E9" s="11">
        <f>IF('NHẬT KÝ CHUNG'!D8=$B$4, 'NHẬT KÝ CHUNG'!F8, 0)</f>
        <v>300000000</v>
      </c>
      <c r="F9" s="11">
        <f>IF('NHẬT KÝ CHUNG'!E8=$B$4, 'NHẬT KÝ CHUNG'!F8, 0)</f>
        <v>0</v>
      </c>
    </row>
    <row r="10" spans="1:6" ht="16" x14ac:dyDescent="0.35">
      <c r="A10" s="8" t="str">
        <f>IF(OR('NHẬT KÝ CHUNG'!D9=$B$4, 'NHẬT KÝ CHUNG'!E9=$B$4), 'NHẬT KÝ CHUNG'!A9, "")</f>
        <v>29/07/2026</v>
      </c>
      <c r="B10" s="8" t="str">
        <f>IF(OR('NHẬT KÝ CHUNG'!D9=$B$4, 'NHẬT KÝ CHUNG'!E9=$B$4), 'NHẬT KÝ CHUNG'!B9, "")</f>
        <v>FT26210920036908</v>
      </c>
      <c r="C10" s="5" t="str">
        <f>IF(OR('NHẬT KÝ CHUNG'!D9=$B$4, 'NHẬT KÝ CHUNG'!E9=$B$4), 'NHẬT KÝ CHUNG'!C9, "")</f>
        <v>Chủ sở hữu góp vốn điều lệ vào tài khoản ngân hàng</v>
      </c>
      <c r="D10" s="8" t="str">
        <f>IF('NHẬT KÝ CHUNG'!D9=$B$4, 'NHẬT KÝ CHUNG'!E9, IF('NHẬT KÝ CHUNG'!E9=$B$4, 'NHẬT KÝ CHUNG'!D9, ""))</f>
        <v>411</v>
      </c>
      <c r="E10" s="9">
        <f>IF('NHẬT KÝ CHUNG'!D9=$B$4, 'NHẬT KÝ CHUNG'!F9, 0)</f>
        <v>350000000</v>
      </c>
      <c r="F10" s="9">
        <f>IF('NHẬT KÝ CHUNG'!E9=$B$4, 'NHẬT KÝ CHUNG'!F9, 0)</f>
        <v>0</v>
      </c>
    </row>
    <row r="11" spans="1:6" ht="16" x14ac:dyDescent="0.35">
      <c r="A11" s="10" t="str">
        <f>IF(OR('NHẬT KÝ CHUNG'!D10=$B$4, 'NHẬT KÝ CHUNG'!E10=$B$4), 'NHẬT KÝ CHUNG'!A10, "")</f>
        <v>29/07/2026</v>
      </c>
      <c r="B11" s="10" t="str">
        <f>IF(OR('NHẬT KÝ CHUNG'!D10=$B$4, 'NHẬT KÝ CHUNG'!E10=$B$4), 'NHẬT KÝ CHUNG'!B10, "")</f>
        <v>FT26210945141823</v>
      </c>
      <c r="C11" s="7" t="str">
        <f>IF(OR('NHẬT KÝ CHUNG'!D10=$B$4, 'NHẬT KÝ CHUNG'!E10=$B$4), 'NHẬT KÝ CHUNG'!C10, "")</f>
        <v>Chủ sở hữu góp vốn điều lệ vào tài khoản ngân hàng</v>
      </c>
      <c r="D11" s="10" t="str">
        <f>IF('NHẬT KÝ CHUNG'!D10=$B$4, 'NHẬT KÝ CHUNG'!E10, IF('NHẬT KÝ CHUNG'!E10=$B$4, 'NHẬT KÝ CHUNG'!D10, ""))</f>
        <v>411</v>
      </c>
      <c r="E11" s="11">
        <f>IF('NHẬT KÝ CHUNG'!D10=$B$4, 'NHẬT KÝ CHUNG'!F10, 0)</f>
        <v>300000000</v>
      </c>
      <c r="F11" s="11">
        <f>IF('NHẬT KÝ CHUNG'!E10=$B$4, 'NHẬT KÝ CHUNG'!F10, 0)</f>
        <v>0</v>
      </c>
    </row>
    <row r="12" spans="1:6" ht="16" x14ac:dyDescent="0.35">
      <c r="A12" s="8" t="str">
        <f>IF(OR('NHẬT KÝ CHUNG'!D11=$B$4, 'NHẬT KÝ CHUNG'!E11=$B$4), 'NHẬT KÝ CHUNG'!A11, "")</f>
        <v/>
      </c>
      <c r="B12" s="8" t="str">
        <f>IF(OR('NHẬT KÝ CHUNG'!D11=$B$4, 'NHẬT KÝ CHUNG'!E11=$B$4), 'NHẬT KÝ CHUNG'!B11, "")</f>
        <v/>
      </c>
      <c r="C12" s="5" t="str">
        <f>IF(OR('NHẬT KÝ CHUNG'!D11=$B$4, 'NHẬT KÝ CHUNG'!E11=$B$4), 'NHẬT KÝ CHUNG'!C11, "")</f>
        <v/>
      </c>
      <c r="D12" s="8" t="str">
        <f>IF('NHẬT KÝ CHUNG'!D11=$B$4, 'NHẬT KÝ CHUNG'!E11, IF('NHẬT KÝ CHUNG'!E11=$B$4, 'NHẬT KÝ CHUNG'!D11, ""))</f>
        <v/>
      </c>
      <c r="E12" s="9">
        <f>IF('NHẬT KÝ CHUNG'!D11=$B$4, 'NHẬT KÝ CHUNG'!F11, 0)</f>
        <v>0</v>
      </c>
      <c r="F12" s="9">
        <f>IF('NHẬT KÝ CHUNG'!E11=$B$4, 'NHẬT KÝ CHUNG'!F11, 0)</f>
        <v>0</v>
      </c>
    </row>
    <row r="13" spans="1:6" ht="16" x14ac:dyDescent="0.35">
      <c r="A13" s="10" t="str">
        <f>IF(OR('NHẬT KÝ CHUNG'!D12=$B$4, 'NHẬT KÝ CHUNG'!E12=$B$4), 'NHẬT KÝ CHUNG'!A12, "")</f>
        <v/>
      </c>
      <c r="B13" s="10" t="str">
        <f>IF(OR('NHẬT KÝ CHUNG'!D12=$B$4, 'NHẬT KÝ CHUNG'!E12=$B$4), 'NHẬT KÝ CHUNG'!B12, "")</f>
        <v/>
      </c>
      <c r="C13" s="7" t="str">
        <f>IF(OR('NHẬT KÝ CHUNG'!D12=$B$4, 'NHẬT KÝ CHUNG'!E12=$B$4), 'NHẬT KÝ CHUNG'!C12, "")</f>
        <v/>
      </c>
      <c r="D13" s="10" t="str">
        <f>IF('NHẬT KÝ CHUNG'!D12=$B$4, 'NHẬT KÝ CHUNG'!E12, IF('NHẬT KÝ CHUNG'!E12=$B$4, 'NHẬT KÝ CHUNG'!D12, ""))</f>
        <v/>
      </c>
      <c r="E13" s="11">
        <f>IF('NHẬT KÝ CHUNG'!D12=$B$4, 'NHẬT KÝ CHUNG'!F12, 0)</f>
        <v>0</v>
      </c>
      <c r="F13" s="11">
        <f>IF('NHẬT KÝ CHUNG'!E12=$B$4, 'NHẬT KÝ CHUNG'!F12, 0)</f>
        <v>0</v>
      </c>
    </row>
    <row r="14" spans="1:6" ht="16" x14ac:dyDescent="0.35">
      <c r="A14" s="8" t="str">
        <f>IF(OR('NHẬT KÝ CHUNG'!D13=$B$4, 'NHẬT KÝ CHUNG'!E13=$B$4), 'NHẬT KÝ CHUNG'!A13, "")</f>
        <v/>
      </c>
      <c r="B14" s="8" t="str">
        <f>IF(OR('NHẬT KÝ CHUNG'!D13=$B$4, 'NHẬT KÝ CHUNG'!E13=$B$4), 'NHẬT KÝ CHUNG'!B13, "")</f>
        <v/>
      </c>
      <c r="C14" s="5" t="str">
        <f>IF(OR('NHẬT KÝ CHUNG'!D13=$B$4, 'NHẬT KÝ CHUNG'!E13=$B$4), 'NHẬT KÝ CHUNG'!C13, "")</f>
        <v/>
      </c>
      <c r="D14" s="8" t="str">
        <f>IF('NHẬT KÝ CHUNG'!D13=$B$4, 'NHẬT KÝ CHUNG'!E13, IF('NHẬT KÝ CHUNG'!E13=$B$4, 'NHẬT KÝ CHUNG'!D13, ""))</f>
        <v/>
      </c>
      <c r="E14" s="9">
        <f>IF('NHẬT KÝ CHUNG'!D13=$B$4, 'NHẬT KÝ CHUNG'!F13, 0)</f>
        <v>0</v>
      </c>
      <c r="F14" s="9">
        <f>IF('NHẬT KÝ CHUNG'!E13=$B$4, 'NHẬT KÝ CHUNG'!F13, 0)</f>
        <v>0</v>
      </c>
    </row>
    <row r="15" spans="1:6" ht="16" x14ac:dyDescent="0.35">
      <c r="A15" s="10" t="str">
        <f>IF(OR('NHẬT KÝ CHUNG'!D14=$B$4, 'NHẬT KÝ CHUNG'!E14=$B$4), 'NHẬT KÝ CHUNG'!A14, "")</f>
        <v/>
      </c>
      <c r="B15" s="10" t="str">
        <f>IF(OR('NHẬT KÝ CHUNG'!D14=$B$4, 'NHẬT KÝ CHUNG'!E14=$B$4), 'NHẬT KÝ CHUNG'!B14, "")</f>
        <v/>
      </c>
      <c r="C15" s="7" t="str">
        <f>IF(OR('NHẬT KÝ CHUNG'!D14=$B$4, 'NHẬT KÝ CHUNG'!E14=$B$4), 'NHẬT KÝ CHUNG'!C14, "")</f>
        <v/>
      </c>
      <c r="D15" s="10" t="str">
        <f>IF('NHẬT KÝ CHUNG'!D14=$B$4, 'NHẬT KÝ CHUNG'!E14, IF('NHẬT KÝ CHUNG'!E14=$B$4, 'NHẬT KÝ CHUNG'!D14, ""))</f>
        <v/>
      </c>
      <c r="E15" s="11">
        <f>IF('NHẬT KÝ CHUNG'!D14=$B$4, 'NHẬT KÝ CHUNG'!F14, 0)</f>
        <v>0</v>
      </c>
      <c r="F15" s="11">
        <f>IF('NHẬT KÝ CHUNG'!E14=$B$4, 'NHẬT KÝ CHUNG'!F14, 0)</f>
        <v>0</v>
      </c>
    </row>
    <row r="16" spans="1:6" ht="16" x14ac:dyDescent="0.35">
      <c r="A16" s="8" t="str">
        <f>IF(OR('NHẬT KÝ CHUNG'!D15=$B$4, 'NHẬT KÝ CHUNG'!E15=$B$4), 'NHẬT KÝ CHUNG'!A15, "")</f>
        <v/>
      </c>
      <c r="B16" s="8" t="str">
        <f>IF(OR('NHẬT KÝ CHUNG'!D15=$B$4, 'NHẬT KÝ CHUNG'!E15=$B$4), 'NHẬT KÝ CHUNG'!B15, "")</f>
        <v/>
      </c>
      <c r="C16" s="5" t="str">
        <f>IF(OR('NHẬT KÝ CHUNG'!D15=$B$4, 'NHẬT KÝ CHUNG'!E15=$B$4), 'NHẬT KÝ CHUNG'!C15, "")</f>
        <v/>
      </c>
      <c r="D16" s="8" t="str">
        <f>IF('NHẬT KÝ CHUNG'!D15=$B$4, 'NHẬT KÝ CHUNG'!E15, IF('NHẬT KÝ CHUNG'!E15=$B$4, 'NHẬT KÝ CHUNG'!D15, ""))</f>
        <v/>
      </c>
      <c r="E16" s="9">
        <f>IF('NHẬT KÝ CHUNG'!D15=$B$4, 'NHẬT KÝ CHUNG'!F15, 0)</f>
        <v>0</v>
      </c>
      <c r="F16" s="9">
        <f>IF('NHẬT KÝ CHUNG'!E15=$B$4, 'NHẬT KÝ CHUNG'!F15, 0)</f>
        <v>0</v>
      </c>
    </row>
    <row r="17" spans="1:6" ht="16" x14ac:dyDescent="0.35">
      <c r="A17" s="10" t="str">
        <f>IF(OR('NHẬT KÝ CHUNG'!D16=$B$4, 'NHẬT KÝ CHUNG'!E16=$B$4), 'NHẬT KÝ CHUNG'!A16, "")</f>
        <v/>
      </c>
      <c r="B17" s="10" t="str">
        <f>IF(OR('NHẬT KÝ CHUNG'!D16=$B$4, 'NHẬT KÝ CHUNG'!E16=$B$4), 'NHẬT KÝ CHUNG'!B16, "")</f>
        <v/>
      </c>
      <c r="C17" s="7" t="str">
        <f>IF(OR('NHẬT KÝ CHUNG'!D16=$B$4, 'NHẬT KÝ CHUNG'!E16=$B$4), 'NHẬT KÝ CHUNG'!C16, "")</f>
        <v/>
      </c>
      <c r="D17" s="10" t="str">
        <f>IF('NHẬT KÝ CHUNG'!D16=$B$4, 'NHẬT KÝ CHUNG'!E16, IF('NHẬT KÝ CHUNG'!E16=$B$4, 'NHẬT KÝ CHUNG'!D16, ""))</f>
        <v/>
      </c>
      <c r="E17" s="11">
        <f>IF('NHẬT KÝ CHUNG'!D16=$B$4, 'NHẬT KÝ CHUNG'!F16, 0)</f>
        <v>0</v>
      </c>
      <c r="F17" s="11">
        <f>IF('NHẬT KÝ CHUNG'!E16=$B$4, 'NHẬT KÝ CHUNG'!F16, 0)</f>
        <v>0</v>
      </c>
    </row>
    <row r="18" spans="1:6" ht="16" x14ac:dyDescent="0.35">
      <c r="A18" s="8" t="str">
        <f>IF(OR('NHẬT KÝ CHUNG'!D17=$B$4, 'NHẬT KÝ CHUNG'!E17=$B$4), 'NHẬT KÝ CHUNG'!A17, "")</f>
        <v/>
      </c>
      <c r="B18" s="8" t="str">
        <f>IF(OR('NHẬT KÝ CHUNG'!D17=$B$4, 'NHẬT KÝ CHUNG'!E17=$B$4), 'NHẬT KÝ CHUNG'!B17, "")</f>
        <v/>
      </c>
      <c r="C18" s="5" t="str">
        <f>IF(OR('NHẬT KÝ CHUNG'!D17=$B$4, 'NHẬT KÝ CHUNG'!E17=$B$4), 'NHẬT KÝ CHUNG'!C17, "")</f>
        <v/>
      </c>
      <c r="D18" s="8" t="str">
        <f>IF('NHẬT KÝ CHUNG'!D17=$B$4, 'NHẬT KÝ CHUNG'!E17, IF('NHẬT KÝ CHUNG'!E17=$B$4, 'NHẬT KÝ CHUNG'!D17, ""))</f>
        <v/>
      </c>
      <c r="E18" s="9">
        <f>IF('NHẬT KÝ CHUNG'!D17=$B$4, 'NHẬT KÝ CHUNG'!F17, 0)</f>
        <v>0</v>
      </c>
      <c r="F18" s="9">
        <f>IF('NHẬT KÝ CHUNG'!E17=$B$4, 'NHẬT KÝ CHUNG'!F17, 0)</f>
        <v>0</v>
      </c>
    </row>
    <row r="19" spans="1:6" ht="16" x14ac:dyDescent="0.35">
      <c r="A19" s="10" t="str">
        <f>IF(OR('NHẬT KÝ CHUNG'!D18=$B$4, 'NHẬT KÝ CHUNG'!E18=$B$4), 'NHẬT KÝ CHUNG'!A18, "")</f>
        <v/>
      </c>
      <c r="B19" s="10" t="str">
        <f>IF(OR('NHẬT KÝ CHUNG'!D18=$B$4, 'NHẬT KÝ CHUNG'!E18=$B$4), 'NHẬT KÝ CHUNG'!B18, "")</f>
        <v/>
      </c>
      <c r="C19" s="7" t="str">
        <f>IF(OR('NHẬT KÝ CHUNG'!D18=$B$4, 'NHẬT KÝ CHUNG'!E18=$B$4), 'NHẬT KÝ CHUNG'!C18, "")</f>
        <v/>
      </c>
      <c r="D19" s="10" t="str">
        <f>IF('NHẬT KÝ CHUNG'!D18=$B$4, 'NHẬT KÝ CHUNG'!E18, IF('NHẬT KÝ CHUNG'!E18=$B$4, 'NHẬT KÝ CHUNG'!D18, ""))</f>
        <v/>
      </c>
      <c r="E19" s="11">
        <f>IF('NHẬT KÝ CHUNG'!D18=$B$4, 'NHẬT KÝ CHUNG'!F18, 0)</f>
        <v>0</v>
      </c>
      <c r="F19" s="11">
        <f>IF('NHẬT KÝ CHUNG'!E18=$B$4, 'NHẬT KÝ CHUNG'!F18, 0)</f>
        <v>0</v>
      </c>
    </row>
    <row r="20" spans="1:6" ht="16" x14ac:dyDescent="0.35">
      <c r="A20" s="8" t="str">
        <f>IF(OR('NHẬT KÝ CHUNG'!D19=$B$4, 'NHẬT KÝ CHUNG'!E19=$B$4), 'NHẬT KÝ CHUNG'!A19, "")</f>
        <v/>
      </c>
      <c r="B20" s="8" t="str">
        <f>IF(OR('NHẬT KÝ CHUNG'!D19=$B$4, 'NHẬT KÝ CHUNG'!E19=$B$4), 'NHẬT KÝ CHUNG'!B19, "")</f>
        <v/>
      </c>
      <c r="C20" s="5" t="str">
        <f>IF(OR('NHẬT KÝ CHUNG'!D19=$B$4, 'NHẬT KÝ CHUNG'!E19=$B$4), 'NHẬT KÝ CHUNG'!C19, "")</f>
        <v/>
      </c>
      <c r="D20" s="8" t="str">
        <f>IF('NHẬT KÝ CHUNG'!D19=$B$4, 'NHẬT KÝ CHUNG'!E19, IF('NHẬT KÝ CHUNG'!E19=$B$4, 'NHẬT KÝ CHUNG'!D19, ""))</f>
        <v/>
      </c>
      <c r="E20" s="9">
        <f>IF('NHẬT KÝ CHUNG'!D19=$B$4, 'NHẬT KÝ CHUNG'!F19, 0)</f>
        <v>0</v>
      </c>
      <c r="F20" s="9">
        <f>IF('NHẬT KÝ CHUNG'!E19=$B$4, 'NHẬT KÝ CHUNG'!F19, 0)</f>
        <v>0</v>
      </c>
    </row>
    <row r="21" spans="1:6" ht="16" x14ac:dyDescent="0.35">
      <c r="A21" s="10" t="str">
        <f>IF(OR('NHẬT KÝ CHUNG'!D20=$B$4, 'NHẬT KÝ CHUNG'!E20=$B$4), 'NHẬT KÝ CHUNG'!A20, "")</f>
        <v/>
      </c>
      <c r="B21" s="10" t="str">
        <f>IF(OR('NHẬT KÝ CHUNG'!D20=$B$4, 'NHẬT KÝ CHUNG'!E20=$B$4), 'NHẬT KÝ CHUNG'!B20, "")</f>
        <v/>
      </c>
      <c r="C21" s="7" t="str">
        <f>IF(OR('NHẬT KÝ CHUNG'!D20=$B$4, 'NHẬT KÝ CHUNG'!E20=$B$4), 'NHẬT KÝ CHUNG'!C20, "")</f>
        <v/>
      </c>
      <c r="D21" s="10" t="str">
        <f>IF('NHẬT KÝ CHUNG'!D20=$B$4, 'NHẬT KÝ CHUNG'!E20, IF('NHẬT KÝ CHUNG'!E20=$B$4, 'NHẬT KÝ CHUNG'!D20, ""))</f>
        <v/>
      </c>
      <c r="E21" s="11">
        <f>IF('NHẬT KÝ CHUNG'!D20=$B$4, 'NHẬT KÝ CHUNG'!F20, 0)</f>
        <v>0</v>
      </c>
      <c r="F21" s="11">
        <f>IF('NHẬT KÝ CHUNG'!E20=$B$4, 'NHẬT KÝ CHUNG'!F20, 0)</f>
        <v>0</v>
      </c>
    </row>
    <row r="22" spans="1:6" ht="16" x14ac:dyDescent="0.35">
      <c r="A22" s="8" t="str">
        <f>IF(OR('NHẬT KÝ CHUNG'!D21=$B$4, 'NHẬT KÝ CHUNG'!E21=$B$4), 'NHẬT KÝ CHUNG'!A21, "")</f>
        <v/>
      </c>
      <c r="B22" s="8" t="str">
        <f>IF(OR('NHẬT KÝ CHUNG'!D21=$B$4, 'NHẬT KÝ CHUNG'!E21=$B$4), 'NHẬT KÝ CHUNG'!B21, "")</f>
        <v/>
      </c>
      <c r="C22" s="5" t="str">
        <f>IF(OR('NHẬT KÝ CHUNG'!D21=$B$4, 'NHẬT KÝ CHUNG'!E21=$B$4), 'NHẬT KÝ CHUNG'!C21, "")</f>
        <v/>
      </c>
      <c r="D22" s="8" t="str">
        <f>IF('NHẬT KÝ CHUNG'!D21=$B$4, 'NHẬT KÝ CHUNG'!E21, IF('NHẬT KÝ CHUNG'!E21=$B$4, 'NHẬT KÝ CHUNG'!D21, ""))</f>
        <v/>
      </c>
      <c r="E22" s="9">
        <f>IF('NHẬT KÝ CHUNG'!D21=$B$4, 'NHẬT KÝ CHUNG'!F21, 0)</f>
        <v>0</v>
      </c>
      <c r="F22" s="9">
        <f>IF('NHẬT KÝ CHUNG'!E21=$B$4, 'NHẬT KÝ CHUNG'!F21, 0)</f>
        <v>0</v>
      </c>
    </row>
    <row r="23" spans="1:6" ht="16" x14ac:dyDescent="0.35">
      <c r="A23" s="10" t="str">
        <f>IF(OR('NHẬT KÝ CHUNG'!D22=$B$4, 'NHẬT KÝ CHUNG'!E22=$B$4), 'NHẬT KÝ CHUNG'!A22, "")</f>
        <v/>
      </c>
      <c r="B23" s="10" t="str">
        <f>IF(OR('NHẬT KÝ CHUNG'!D22=$B$4, 'NHẬT KÝ CHUNG'!E22=$B$4), 'NHẬT KÝ CHUNG'!B22, "")</f>
        <v/>
      </c>
      <c r="C23" s="7" t="str">
        <f>IF(OR('NHẬT KÝ CHUNG'!D22=$B$4, 'NHẬT KÝ CHUNG'!E22=$B$4), 'NHẬT KÝ CHUNG'!C22, "")</f>
        <v/>
      </c>
      <c r="D23" s="10" t="str">
        <f>IF('NHẬT KÝ CHUNG'!D22=$B$4, 'NHẬT KÝ CHUNG'!E22, IF('NHẬT KÝ CHUNG'!E22=$B$4, 'NHẬT KÝ CHUNG'!D22, ""))</f>
        <v/>
      </c>
      <c r="E23" s="11">
        <f>IF('NHẬT KÝ CHUNG'!D22=$B$4, 'NHẬT KÝ CHUNG'!F22, 0)</f>
        <v>0</v>
      </c>
      <c r="F23" s="11">
        <f>IF('NHẬT KÝ CHUNG'!E22=$B$4, 'NHẬT KÝ CHUNG'!F22, 0)</f>
        <v>0</v>
      </c>
    </row>
    <row r="24" spans="1:6" ht="16" x14ac:dyDescent="0.35">
      <c r="A24" s="8" t="str">
        <f>IF(OR('NHẬT KÝ CHUNG'!D23=$B$4, 'NHẬT KÝ CHUNG'!E23=$B$4), 'NHẬT KÝ CHUNG'!A23, "")</f>
        <v/>
      </c>
      <c r="B24" s="8" t="str">
        <f>IF(OR('NHẬT KÝ CHUNG'!D23=$B$4, 'NHẬT KÝ CHUNG'!E23=$B$4), 'NHẬT KÝ CHUNG'!B23, "")</f>
        <v/>
      </c>
      <c r="C24" s="5" t="str">
        <f>IF(OR('NHẬT KÝ CHUNG'!D23=$B$4, 'NHẬT KÝ CHUNG'!E23=$B$4), 'NHẬT KÝ CHUNG'!C23, "")</f>
        <v/>
      </c>
      <c r="D24" s="8" t="str">
        <f>IF('NHẬT KÝ CHUNG'!D23=$B$4, 'NHẬT KÝ CHUNG'!E23, IF('NHẬT KÝ CHUNG'!E23=$B$4, 'NHẬT KÝ CHUNG'!D23, ""))</f>
        <v/>
      </c>
      <c r="E24" s="9">
        <f>IF('NHẬT KÝ CHUNG'!D23=$B$4, 'NHẬT KÝ CHUNG'!F23, 0)</f>
        <v>0</v>
      </c>
      <c r="F24" s="9">
        <f>IF('NHẬT KÝ CHUNG'!E23=$B$4, 'NHẬT KÝ CHUNG'!F23, 0)</f>
        <v>0</v>
      </c>
    </row>
    <row r="25" spans="1:6" ht="16" x14ac:dyDescent="0.35">
      <c r="A25" s="10" t="str">
        <f>IF(OR('NHẬT KÝ CHUNG'!D24=$B$4, 'NHẬT KÝ CHUNG'!E24=$B$4), 'NHẬT KÝ CHUNG'!A24, "")</f>
        <v/>
      </c>
      <c r="B25" s="10" t="str">
        <f>IF(OR('NHẬT KÝ CHUNG'!D24=$B$4, 'NHẬT KÝ CHUNG'!E24=$B$4), 'NHẬT KÝ CHUNG'!B24, "")</f>
        <v/>
      </c>
      <c r="C25" s="7" t="str">
        <f>IF(OR('NHẬT KÝ CHUNG'!D24=$B$4, 'NHẬT KÝ CHUNG'!E24=$B$4), 'NHẬT KÝ CHUNG'!C24, "")</f>
        <v/>
      </c>
      <c r="D25" s="10" t="str">
        <f>IF('NHẬT KÝ CHUNG'!D24=$B$4, 'NHẬT KÝ CHUNG'!E24, IF('NHẬT KÝ CHUNG'!E24=$B$4, 'NHẬT KÝ CHUNG'!D24, ""))</f>
        <v/>
      </c>
      <c r="E25" s="11">
        <f>IF('NHẬT KÝ CHUNG'!D24=$B$4, 'NHẬT KÝ CHUNG'!F24, 0)</f>
        <v>0</v>
      </c>
      <c r="F25" s="11">
        <f>IF('NHẬT KÝ CHUNG'!E24=$B$4, 'NHẬT KÝ CHUNG'!F24, 0)</f>
        <v>0</v>
      </c>
    </row>
    <row r="26" spans="1:6" ht="16" x14ac:dyDescent="0.35">
      <c r="A26" s="8" t="str">
        <f>IF(OR('NHẬT KÝ CHUNG'!D25=$B$4, 'NHẬT KÝ CHUNG'!E25=$B$4), 'NHẬT KÝ CHUNG'!A25, "")</f>
        <v/>
      </c>
      <c r="B26" s="8" t="str">
        <f>IF(OR('NHẬT KÝ CHUNG'!D25=$B$4, 'NHẬT KÝ CHUNG'!E25=$B$4), 'NHẬT KÝ CHUNG'!B25, "")</f>
        <v/>
      </c>
      <c r="C26" s="5" t="str">
        <f>IF(OR('NHẬT KÝ CHUNG'!D25=$B$4, 'NHẬT KÝ CHUNG'!E25=$B$4), 'NHẬT KÝ CHUNG'!C25, "")</f>
        <v/>
      </c>
      <c r="D26" s="8" t="str">
        <f>IF('NHẬT KÝ CHUNG'!D25=$B$4, 'NHẬT KÝ CHUNG'!E25, IF('NHẬT KÝ CHUNG'!E25=$B$4, 'NHẬT KÝ CHUNG'!D25, ""))</f>
        <v/>
      </c>
      <c r="E26" s="9">
        <f>IF('NHẬT KÝ CHUNG'!D25=$B$4, 'NHẬT KÝ CHUNG'!F25, 0)</f>
        <v>0</v>
      </c>
      <c r="F26" s="9">
        <f>IF('NHẬT KÝ CHUNG'!E25=$B$4, 'NHẬT KÝ CHUNG'!F25, 0)</f>
        <v>0</v>
      </c>
    </row>
    <row r="27" spans="1:6" ht="16" x14ac:dyDescent="0.35">
      <c r="A27" s="10" t="str">
        <f>IF(OR('NHẬT KÝ CHUNG'!D26=$B$4, 'NHẬT KÝ CHUNG'!E26=$B$4), 'NHẬT KÝ CHUNG'!A26, "")</f>
        <v/>
      </c>
      <c r="B27" s="10" t="str">
        <f>IF(OR('NHẬT KÝ CHUNG'!D26=$B$4, 'NHẬT KÝ CHUNG'!E26=$B$4), 'NHẬT KÝ CHUNG'!B26, "")</f>
        <v/>
      </c>
      <c r="C27" s="7" t="str">
        <f>IF(OR('NHẬT KÝ CHUNG'!D26=$B$4, 'NHẬT KÝ CHUNG'!E26=$B$4), 'NHẬT KÝ CHUNG'!C26, "")</f>
        <v/>
      </c>
      <c r="D27" s="10" t="str">
        <f>IF('NHẬT KÝ CHUNG'!D26=$B$4, 'NHẬT KÝ CHUNG'!E26, IF('NHẬT KÝ CHUNG'!E26=$B$4, 'NHẬT KÝ CHUNG'!D26, ""))</f>
        <v/>
      </c>
      <c r="E27" s="11">
        <f>IF('NHẬT KÝ CHUNG'!D26=$B$4, 'NHẬT KÝ CHUNG'!F26, 0)</f>
        <v>0</v>
      </c>
      <c r="F27" s="11">
        <f>IF('NHẬT KÝ CHUNG'!E26=$B$4, 'NHẬT KÝ CHUNG'!F26, 0)</f>
        <v>0</v>
      </c>
    </row>
    <row r="28" spans="1:6" ht="16" x14ac:dyDescent="0.35">
      <c r="A28" s="8" t="str">
        <f>IF(OR('NHẬT KÝ CHUNG'!D27=$B$4, 'NHẬT KÝ CHUNG'!E27=$B$4), 'NHẬT KÝ CHUNG'!A27, "")</f>
        <v/>
      </c>
      <c r="B28" s="8" t="str">
        <f>IF(OR('NHẬT KÝ CHUNG'!D27=$B$4, 'NHẬT KÝ CHUNG'!E27=$B$4), 'NHẬT KÝ CHUNG'!B27, "")</f>
        <v/>
      </c>
      <c r="C28" s="5" t="str">
        <f>IF(OR('NHẬT KÝ CHUNG'!D27=$B$4, 'NHẬT KÝ CHUNG'!E27=$B$4), 'NHẬT KÝ CHUNG'!C27, "")</f>
        <v/>
      </c>
      <c r="D28" s="8" t="str">
        <f>IF('NHẬT KÝ CHUNG'!D27=$B$4, 'NHẬT KÝ CHUNG'!E27, IF('NHẬT KÝ CHUNG'!E27=$B$4, 'NHẬT KÝ CHUNG'!D27, ""))</f>
        <v/>
      </c>
      <c r="E28" s="9">
        <f>IF('NHẬT KÝ CHUNG'!D27=$B$4, 'NHẬT KÝ CHUNG'!F27, 0)</f>
        <v>0</v>
      </c>
      <c r="F28" s="9">
        <f>IF('NHẬT KÝ CHUNG'!E27=$B$4, 'NHẬT KÝ CHUNG'!F27, 0)</f>
        <v>0</v>
      </c>
    </row>
    <row r="29" spans="1:6" ht="16" x14ac:dyDescent="0.35">
      <c r="A29" s="10" t="str">
        <f>IF(OR('NHẬT KÝ CHUNG'!D28=$B$4, 'NHẬT KÝ CHUNG'!E28=$B$4), 'NHẬT KÝ CHUNG'!A28, "")</f>
        <v/>
      </c>
      <c r="B29" s="10" t="str">
        <f>IF(OR('NHẬT KÝ CHUNG'!D28=$B$4, 'NHẬT KÝ CHUNG'!E28=$B$4), 'NHẬT KÝ CHUNG'!B28, "")</f>
        <v/>
      </c>
      <c r="C29" s="7" t="str">
        <f>IF(OR('NHẬT KÝ CHUNG'!D28=$B$4, 'NHẬT KÝ CHUNG'!E28=$B$4), 'NHẬT KÝ CHUNG'!C28, "")</f>
        <v/>
      </c>
      <c r="D29" s="10" t="str">
        <f>IF('NHẬT KÝ CHUNG'!D28=$B$4, 'NHẬT KÝ CHUNG'!E28, IF('NHẬT KÝ CHUNG'!E28=$B$4, 'NHẬT KÝ CHUNG'!D28, ""))</f>
        <v/>
      </c>
      <c r="E29" s="11">
        <f>IF('NHẬT KÝ CHUNG'!D28=$B$4, 'NHẬT KÝ CHUNG'!F28, 0)</f>
        <v>0</v>
      </c>
      <c r="F29" s="11">
        <f>IF('NHẬT KÝ CHUNG'!E28=$B$4, 'NHẬT KÝ CHUNG'!F28, 0)</f>
        <v>0</v>
      </c>
    </row>
    <row r="30" spans="1:6" ht="16" x14ac:dyDescent="0.35">
      <c r="A30" s="8" t="str">
        <f>IF(OR('NHẬT KÝ CHUNG'!D29=$B$4, 'NHẬT KÝ CHUNG'!E29=$B$4), 'NHẬT KÝ CHUNG'!A29, "")</f>
        <v/>
      </c>
      <c r="B30" s="8" t="str">
        <f>IF(OR('NHẬT KÝ CHUNG'!D29=$B$4, 'NHẬT KÝ CHUNG'!E29=$B$4), 'NHẬT KÝ CHUNG'!B29, "")</f>
        <v/>
      </c>
      <c r="C30" s="5" t="str">
        <f>IF(OR('NHẬT KÝ CHUNG'!D29=$B$4, 'NHẬT KÝ CHUNG'!E29=$B$4), 'NHẬT KÝ CHUNG'!C29, "")</f>
        <v/>
      </c>
      <c r="D30" s="8" t="str">
        <f>IF('NHẬT KÝ CHUNG'!D29=$B$4, 'NHẬT KÝ CHUNG'!E29, IF('NHẬT KÝ CHUNG'!E29=$B$4, 'NHẬT KÝ CHUNG'!D29, ""))</f>
        <v/>
      </c>
      <c r="E30" s="9">
        <f>IF('NHẬT KÝ CHUNG'!D29=$B$4, 'NHẬT KÝ CHUNG'!F29, 0)</f>
        <v>0</v>
      </c>
      <c r="F30" s="9">
        <f>IF('NHẬT KÝ CHUNG'!E29=$B$4, 'NHẬT KÝ CHUNG'!F29, 0)</f>
        <v>0</v>
      </c>
    </row>
    <row r="31" spans="1:6" ht="16" x14ac:dyDescent="0.35">
      <c r="A31" s="10" t="str">
        <f>IF(OR('NHẬT KÝ CHUNG'!D30=$B$4, 'NHẬT KÝ CHUNG'!E30=$B$4), 'NHẬT KÝ CHUNG'!A30, "")</f>
        <v/>
      </c>
      <c r="B31" s="10" t="str">
        <f>IF(OR('NHẬT KÝ CHUNG'!D30=$B$4, 'NHẬT KÝ CHUNG'!E30=$B$4), 'NHẬT KÝ CHUNG'!B30, "")</f>
        <v/>
      </c>
      <c r="C31" s="7" t="str">
        <f>IF(OR('NHẬT KÝ CHUNG'!D30=$B$4, 'NHẬT KÝ CHUNG'!E30=$B$4), 'NHẬT KÝ CHUNG'!C30, "")</f>
        <v/>
      </c>
      <c r="D31" s="10" t="str">
        <f>IF('NHẬT KÝ CHUNG'!D30=$B$4, 'NHẬT KÝ CHUNG'!E30, IF('NHẬT KÝ CHUNG'!E30=$B$4, 'NHẬT KÝ CHUNG'!D30, ""))</f>
        <v/>
      </c>
      <c r="E31" s="11">
        <f>IF('NHẬT KÝ CHUNG'!D30=$B$4, 'NHẬT KÝ CHUNG'!F30, 0)</f>
        <v>0</v>
      </c>
      <c r="F31" s="11">
        <f>IF('NHẬT KÝ CHUNG'!E30=$B$4, 'NHẬT KÝ CHUNG'!F30, 0)</f>
        <v>0</v>
      </c>
    </row>
    <row r="32" spans="1:6" ht="16" x14ac:dyDescent="0.45">
      <c r="A32" s="17"/>
      <c r="B32" s="17"/>
      <c r="C32" s="13" t="s">
        <v>62</v>
      </c>
      <c r="D32" s="17"/>
      <c r="E32" s="18">
        <f>SUM(E7:E31)</f>
        <v>1000000000</v>
      </c>
      <c r="F32" s="18">
        <f>SUM(F7:F31)</f>
        <v>4900000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200-000000000000}">
          <x14:formula1>
            <xm:f>'DANH MỤC TK'!$A$6:$A$19</xm:f>
          </x14:formula1>
          <xm:sqref>B4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H29"/>
  <sheetViews>
    <sheetView topLeftCell="A3" workbookViewId="0">
      <selection activeCell="G6" sqref="G6:H7"/>
    </sheetView>
  </sheetViews>
  <sheetFormatPr defaultRowHeight="14.5" x14ac:dyDescent="0.35"/>
  <cols>
    <col min="1" max="1" width="25.7265625" customWidth="1"/>
    <col min="2" max="2" width="38.1796875" customWidth="1"/>
    <col min="3" max="5" width="25.26953125" customWidth="1"/>
    <col min="6" max="6" width="12" customWidth="1"/>
    <col min="7" max="7" width="22" customWidth="1"/>
    <col min="8" max="8" width="12" customWidth="1"/>
  </cols>
  <sheetData>
    <row r="2" spans="1:8" ht="25" x14ac:dyDescent="0.7">
      <c r="A2" s="1" t="s">
        <v>63</v>
      </c>
    </row>
    <row r="3" spans="1:8" ht="16" x14ac:dyDescent="0.45">
      <c r="A3" s="2" t="s">
        <v>64</v>
      </c>
    </row>
    <row r="5" spans="1:8" x14ac:dyDescent="0.35">
      <c r="A5" s="23" t="s">
        <v>65</v>
      </c>
      <c r="B5" s="22"/>
      <c r="D5" s="23" t="s">
        <v>66</v>
      </c>
      <c r="E5" s="22"/>
      <c r="G5" s="23" t="s">
        <v>67</v>
      </c>
      <c r="H5" s="22"/>
    </row>
    <row r="6" spans="1:8" x14ac:dyDescent="0.35">
      <c r="A6" s="21">
        <f>SUMIF('NHẬT KÝ CHUNG'!$E$6:$E$35, "511", 'NHẬT KÝ CHUNG'!$F$6:$F$35)</f>
        <v>0</v>
      </c>
      <c r="B6" s="22"/>
      <c r="D6" s="21">
        <f>SUMIF('NHẬT KÝ CHUNG'!$D$6:$D$35, "642", 'NHẬT KÝ CHUNG'!$F$6:$F$35) + SUMIF('NHẬT KÝ CHUNG'!$D$6:$D$35, "632", 'NHẬT KÝ CHUNG'!$F$6:$F$35)</f>
        <v>4900000</v>
      </c>
      <c r="E6" s="22"/>
      <c r="G6" s="21">
        <f>A6-D6</f>
        <v>-4900000</v>
      </c>
      <c r="H6" s="22"/>
    </row>
    <row r="7" spans="1:8" x14ac:dyDescent="0.35">
      <c r="A7" s="22"/>
      <c r="B7" s="22"/>
      <c r="D7" s="22"/>
      <c r="E7" s="22"/>
      <c r="G7" s="22"/>
      <c r="H7" s="22"/>
    </row>
    <row r="10" spans="1:8" ht="17.5" x14ac:dyDescent="0.45">
      <c r="A10" s="19" t="s">
        <v>68</v>
      </c>
    </row>
    <row r="12" spans="1:8" ht="16.5" x14ac:dyDescent="0.35">
      <c r="A12" s="3" t="s">
        <v>69</v>
      </c>
      <c r="B12" s="3" t="s">
        <v>3</v>
      </c>
      <c r="C12" s="3" t="s">
        <v>60</v>
      </c>
      <c r="D12" s="3" t="s">
        <v>61</v>
      </c>
      <c r="E12" s="3" t="s">
        <v>70</v>
      </c>
    </row>
    <row r="13" spans="1:8" ht="16" x14ac:dyDescent="0.35">
      <c r="A13" s="10" t="s">
        <v>6</v>
      </c>
      <c r="B13" s="7" t="s">
        <v>7</v>
      </c>
      <c r="C13" s="11">
        <f>SUMIF('NHẬT KÝ CHUNG'!$D$6:$D$35, A13, 'NHẬT KÝ CHUNG'!$F$6:$F$35)</f>
        <v>0</v>
      </c>
      <c r="D13" s="11">
        <f>SUMIF('NHẬT KÝ CHUNG'!$E$6:$E$35, A13, 'NHẬT KÝ CHUNG'!$F$6:$F$35)</f>
        <v>0</v>
      </c>
      <c r="E13" s="11">
        <f t="shared" ref="E13:E26" si="0">C13-D13</f>
        <v>0</v>
      </c>
    </row>
    <row r="14" spans="1:8" ht="16" x14ac:dyDescent="0.35">
      <c r="A14" s="8" t="s">
        <v>10</v>
      </c>
      <c r="B14" s="5" t="s">
        <v>11</v>
      </c>
      <c r="C14" s="9">
        <f>SUMIF('NHẬT KÝ CHUNG'!$D$6:$D$35, A14, 'NHẬT KÝ CHUNG'!$F$6:$F$35)</f>
        <v>1000000000</v>
      </c>
      <c r="D14" s="9">
        <f>SUMIF('NHẬT KÝ CHUNG'!$E$6:$E$35, A14, 'NHẬT KÝ CHUNG'!$F$6:$F$35)</f>
        <v>4900000</v>
      </c>
      <c r="E14" s="9">
        <f t="shared" si="0"/>
        <v>995100000</v>
      </c>
    </row>
    <row r="15" spans="1:8" ht="16" x14ac:dyDescent="0.35">
      <c r="A15" s="10" t="s">
        <v>12</v>
      </c>
      <c r="B15" s="7" t="s">
        <v>13</v>
      </c>
      <c r="C15" s="11">
        <f>SUMIF('NHẬT KÝ CHUNG'!$D$6:$D$35, A15, 'NHẬT KÝ CHUNG'!$F$6:$F$35)</f>
        <v>0</v>
      </c>
      <c r="D15" s="11">
        <f>SUMIF('NHẬT KÝ CHUNG'!$E$6:$E$35, A15, 'NHẬT KÝ CHUNG'!$F$6:$F$35)</f>
        <v>0</v>
      </c>
      <c r="E15" s="11">
        <f t="shared" si="0"/>
        <v>0</v>
      </c>
    </row>
    <row r="16" spans="1:8" ht="16" x14ac:dyDescent="0.35">
      <c r="A16" s="8" t="s">
        <v>15</v>
      </c>
      <c r="B16" s="5" t="s">
        <v>16</v>
      </c>
      <c r="C16" s="9">
        <f>SUMIF('NHẬT KÝ CHUNG'!$D$6:$D$35, A16, 'NHẬT KÝ CHUNG'!$F$6:$F$35)</f>
        <v>0</v>
      </c>
      <c r="D16" s="9">
        <f>SUMIF('NHẬT KÝ CHUNG'!$E$6:$E$35, A16, 'NHẬT KÝ CHUNG'!$F$6:$F$35)</f>
        <v>0</v>
      </c>
      <c r="E16" s="9">
        <f t="shared" si="0"/>
        <v>0</v>
      </c>
    </row>
    <row r="17" spans="1:5" ht="16" x14ac:dyDescent="0.35">
      <c r="A17" s="10" t="s">
        <v>17</v>
      </c>
      <c r="B17" s="7" t="s">
        <v>18</v>
      </c>
      <c r="C17" s="11">
        <f>SUMIF('NHẬT KÝ CHUNG'!$D$6:$D$35, A17, 'NHẬT KÝ CHUNG'!$F$6:$F$35)</f>
        <v>0</v>
      </c>
      <c r="D17" s="11">
        <f>SUMIF('NHẬT KÝ CHUNG'!$E$6:$E$35, A17, 'NHẬT KÝ CHUNG'!$F$6:$F$35)</f>
        <v>0</v>
      </c>
      <c r="E17" s="11">
        <f t="shared" si="0"/>
        <v>0</v>
      </c>
    </row>
    <row r="18" spans="1:5" ht="16" x14ac:dyDescent="0.35">
      <c r="A18" s="8" t="s">
        <v>19</v>
      </c>
      <c r="B18" s="5" t="s">
        <v>20</v>
      </c>
      <c r="C18" s="9">
        <f>SUMIF('NHẬT KÝ CHUNG'!$D$6:$D$35, A18, 'NHẬT KÝ CHUNG'!$F$6:$F$35)</f>
        <v>0</v>
      </c>
      <c r="D18" s="9">
        <f>SUMIF('NHẬT KÝ CHUNG'!$E$6:$E$35, A18, 'NHẬT KÝ CHUNG'!$F$6:$F$35)</f>
        <v>0</v>
      </c>
      <c r="E18" s="9">
        <f t="shared" si="0"/>
        <v>0</v>
      </c>
    </row>
    <row r="19" spans="1:5" ht="16" x14ac:dyDescent="0.35">
      <c r="A19" s="10" t="s">
        <v>21</v>
      </c>
      <c r="B19" s="7" t="s">
        <v>22</v>
      </c>
      <c r="C19" s="11">
        <f>SUMIF('NHẬT KÝ CHUNG'!$D$6:$D$35, A19, 'NHẬT KÝ CHUNG'!$F$6:$F$35)</f>
        <v>0</v>
      </c>
      <c r="D19" s="11">
        <f>SUMIF('NHẬT KÝ CHUNG'!$E$6:$E$35, A19, 'NHẬT KÝ CHUNG'!$F$6:$F$35)</f>
        <v>0</v>
      </c>
      <c r="E19" s="11">
        <f t="shared" si="0"/>
        <v>0</v>
      </c>
    </row>
    <row r="20" spans="1:5" ht="16" x14ac:dyDescent="0.35">
      <c r="A20" s="8" t="s">
        <v>24</v>
      </c>
      <c r="B20" s="5" t="s">
        <v>25</v>
      </c>
      <c r="C20" s="9">
        <f>SUMIF('NHẬT KÝ CHUNG'!$D$6:$D$35, A20, 'NHẬT KÝ CHUNG'!$F$6:$F$35)</f>
        <v>0</v>
      </c>
      <c r="D20" s="9">
        <f>SUMIF('NHẬT KÝ CHUNG'!$E$6:$E$35, A20, 'NHẬT KÝ CHUNG'!$F$6:$F$35)</f>
        <v>0</v>
      </c>
      <c r="E20" s="9">
        <f t="shared" si="0"/>
        <v>0</v>
      </c>
    </row>
    <row r="21" spans="1:5" ht="16" x14ac:dyDescent="0.35">
      <c r="A21" s="10" t="s">
        <v>26</v>
      </c>
      <c r="B21" s="7" t="s">
        <v>27</v>
      </c>
      <c r="C21" s="11">
        <f>SUMIF('NHẬT KÝ CHUNG'!$D$6:$D$35, A21, 'NHẬT KÝ CHUNG'!$F$6:$F$35)</f>
        <v>0</v>
      </c>
      <c r="D21" s="11">
        <f>SUMIF('NHẬT KÝ CHUNG'!$E$6:$E$35, A21, 'NHẬT KÝ CHUNG'!$F$6:$F$35)</f>
        <v>1000000000</v>
      </c>
      <c r="E21" s="11">
        <f t="shared" si="0"/>
        <v>-1000000000</v>
      </c>
    </row>
    <row r="22" spans="1:5" ht="16" x14ac:dyDescent="0.35">
      <c r="A22" s="8" t="s">
        <v>30</v>
      </c>
      <c r="B22" s="5" t="s">
        <v>31</v>
      </c>
      <c r="C22" s="9">
        <f>SUMIF('NHẬT KÝ CHUNG'!$D$6:$D$35, A22, 'NHẬT KÝ CHUNG'!$F$6:$F$35)</f>
        <v>0</v>
      </c>
      <c r="D22" s="9">
        <f>SUMIF('NHẬT KÝ CHUNG'!$E$6:$E$35, A22, 'NHẬT KÝ CHUNG'!$F$6:$F$35)</f>
        <v>0</v>
      </c>
      <c r="E22" s="9">
        <f t="shared" si="0"/>
        <v>0</v>
      </c>
    </row>
    <row r="23" spans="1:5" ht="16" x14ac:dyDescent="0.35">
      <c r="A23" s="10" t="s">
        <v>33</v>
      </c>
      <c r="B23" s="7" t="s">
        <v>34</v>
      </c>
      <c r="C23" s="11">
        <f>SUMIF('NHẬT KÝ CHUNG'!$D$6:$D$35, A23, 'NHẬT KÝ CHUNG'!$F$6:$F$35)</f>
        <v>0</v>
      </c>
      <c r="D23" s="11">
        <f>SUMIF('NHẬT KÝ CHUNG'!$E$6:$E$35, A23, 'NHẬT KÝ CHUNG'!$F$6:$F$35)</f>
        <v>0</v>
      </c>
      <c r="E23" s="11">
        <f t="shared" si="0"/>
        <v>0</v>
      </c>
    </row>
    <row r="24" spans="1:5" ht="16" x14ac:dyDescent="0.35">
      <c r="A24" s="8" t="s">
        <v>36</v>
      </c>
      <c r="B24" s="5" t="s">
        <v>37</v>
      </c>
      <c r="C24" s="9">
        <f>SUMIF('NHẬT KÝ CHUNG'!$D$6:$D$35, A24, 'NHẬT KÝ CHUNG'!$F$6:$F$35)</f>
        <v>4900000</v>
      </c>
      <c r="D24" s="9">
        <f>SUMIF('NHẬT KÝ CHUNG'!$E$6:$E$35, A24, 'NHẬT KÝ CHUNG'!$F$6:$F$35)</f>
        <v>0</v>
      </c>
      <c r="E24" s="9">
        <f t="shared" si="0"/>
        <v>4900000</v>
      </c>
    </row>
    <row r="25" spans="1:5" ht="16" x14ac:dyDescent="0.35">
      <c r="A25" s="10" t="s">
        <v>38</v>
      </c>
      <c r="B25" s="7" t="s">
        <v>39</v>
      </c>
      <c r="C25" s="11">
        <f>SUMIF('NHẬT KÝ CHUNG'!$D$6:$D$35, A25, 'NHẬT KÝ CHUNG'!$F$6:$F$35)</f>
        <v>0</v>
      </c>
      <c r="D25" s="11">
        <f>SUMIF('NHẬT KÝ CHUNG'!$E$6:$E$35, A25, 'NHẬT KÝ CHUNG'!$F$6:$F$35)</f>
        <v>0</v>
      </c>
      <c r="E25" s="11">
        <f t="shared" si="0"/>
        <v>0</v>
      </c>
    </row>
    <row r="26" spans="1:5" ht="16" x14ac:dyDescent="0.35">
      <c r="A26" s="8" t="s">
        <v>40</v>
      </c>
      <c r="B26" s="5" t="s">
        <v>41</v>
      </c>
      <c r="C26" s="9">
        <f>SUMIF('NHẬT KÝ CHUNG'!$D$6:$D$35, A26, 'NHẬT KÝ CHUNG'!$F$6:$F$35)</f>
        <v>0</v>
      </c>
      <c r="D26" s="9">
        <f>SUMIF('NHẬT KÝ CHUNG'!$E$6:$E$35, A26, 'NHẬT KÝ CHUNG'!$F$6:$F$35)</f>
        <v>0</v>
      </c>
      <c r="E26" s="9">
        <f t="shared" si="0"/>
        <v>0</v>
      </c>
    </row>
    <row r="27" spans="1:5" ht="16" x14ac:dyDescent="0.45">
      <c r="A27" s="17"/>
      <c r="B27" s="13" t="s">
        <v>71</v>
      </c>
      <c r="C27" s="18">
        <f>SUM(C13:C26)</f>
        <v>1004900000</v>
      </c>
      <c r="D27" s="18">
        <f>SUM(D13:D26)</f>
        <v>1004900000</v>
      </c>
      <c r="E27" s="18">
        <f>SUM(E13:E26)</f>
        <v>0</v>
      </c>
    </row>
    <row r="29" spans="1:5" ht="16.5" x14ac:dyDescent="0.45">
      <c r="A29" s="15" t="s">
        <v>72</v>
      </c>
      <c r="C29" s="20" t="str">
        <f>IF(C27=D27, "CÂN ĐỐI (OK)", "LỆCH CÂN ĐỐI!")</f>
        <v>CÂN ĐỐI (OK)</v>
      </c>
    </row>
  </sheetData>
  <mergeCells count="6">
    <mergeCell ref="G6:H7"/>
    <mergeCell ref="D5:E5"/>
    <mergeCell ref="A5:B5"/>
    <mergeCell ref="A6:B7"/>
    <mergeCell ref="G5:H5"/>
    <mergeCell ref="D6:E7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56e56246-8739-4b1c-9110-355c73255716}" enabled="0" method="" siteId="{56e56246-8739-4b1c-9110-355c732557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DANH MỤC TK</vt:lpstr>
      <vt:lpstr>NHẬT KÝ CHUNG</vt:lpstr>
      <vt:lpstr>SỔ CÁI</vt:lpstr>
      <vt:lpstr>BÁO CÁO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Ngọc Ánh Trương</cp:lastModifiedBy>
  <dcterms:created xsi:type="dcterms:W3CDTF">2026-07-24T07:52:52Z</dcterms:created>
  <dcterms:modified xsi:type="dcterms:W3CDTF">2026-07-29T02:24:21Z</dcterms:modified>
</cp:coreProperties>
</file>