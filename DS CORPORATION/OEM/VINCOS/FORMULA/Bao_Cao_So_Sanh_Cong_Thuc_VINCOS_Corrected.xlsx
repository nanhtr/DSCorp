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8a15e8f44ec9355/DS CORPORATION/OEM/VINCOS/"/>
    </mc:Choice>
  </mc:AlternateContent>
  <xr:revisionPtr revIDLastSave="0" documentId="8_{55ABEE1B-97E9-49ED-A6F6-E4FFD48ACCBE}" xr6:coauthVersionLast="47" xr6:coauthVersionMax="47" xr10:uidLastSave="{00000000-0000-0000-0000-000000000000}"/>
  <bookViews>
    <workbookView xWindow="-110" yWindow="-110" windowWidth="23260" windowHeight="14860" activeTab="4" xr2:uid="{00000000-000D-0000-FFFF-FFFF00000000}"/>
  </bookViews>
  <sheets>
    <sheet name="1. So Sánh Tổng Quan" sheetId="1" r:id="rId1"/>
    <sheet name="2. Công Thức Đề Xuất (BM Gốc)" sheetId="2" r:id="rId2"/>
    <sheet name="3. So Sánh CT &amp; ĐGKT" sheetId="4" r:id="rId3"/>
    <sheet name="4. Nguyên Liệu Thay Thế VN" sheetId="5" r:id="rId4"/>
    <sheet name="5. Công Thức NL Thay Thế " sheetId="3"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D18" i="3"/>
  <c r="D17" i="3"/>
  <c r="D16" i="3"/>
  <c r="D15" i="3"/>
  <c r="D14" i="3"/>
  <c r="D13" i="3"/>
  <c r="D12" i="3"/>
  <c r="D11" i="3"/>
  <c r="D10" i="3"/>
  <c r="D9" i="3"/>
  <c r="D8" i="3"/>
  <c r="D7" i="3"/>
  <c r="D6" i="3"/>
  <c r="D5" i="3"/>
  <c r="D19" i="3" s="1"/>
  <c r="C21" i="2"/>
</calcChain>
</file>

<file path=xl/sharedStrings.xml><?xml version="1.0" encoding="utf-8"?>
<sst xmlns="http://schemas.openxmlformats.org/spreadsheetml/2006/main" count="311" uniqueCount="224">
  <si>
    <t>BÁO CÁO SO SÁNH ĐÁNH GIÁ CÔNG THỨC: BENCHMARK vs VINCOS</t>
  </si>
  <si>
    <t>Phân tích chuyên sâu 4 công dụng cốt lõi &amp; Đánh giá mức độ đáp ứng công thức VINCOS</t>
  </si>
  <si>
    <t>STT</t>
  </si>
  <si>
    <t>Nhóm Công Dụng Cốt Lõi</t>
  </si>
  <si>
    <t>Phân Tích Cơ Chế &amp; Thành Phần Trong BENCHMARK</t>
  </si>
  <si>
    <t>Phân Tích Cơ Chế &amp; Thành Phần Trong VINCOS</t>
  </si>
  <si>
    <t>Điểm Đánh Giá Mức Độ Tương Đồng (1-10)</t>
  </si>
  <si>
    <t>Nhận Xét &amp; Đánh Giá Kỹ Thuật</t>
  </si>
  <si>
    <t>Khoảng Trống Cần Bổ Sung (Gap Analysis)</t>
  </si>
  <si>
    <t>Ý Kiến Phản Hồi Từ VINCOS</t>
  </si>
  <si>
    <t>1. Kích thích mọc tóc &amp; Nuôi dưỡng nang tóc
(QUAN TRỌNG NHẤT)</t>
  </si>
  <si>
    <t>• Bakuchi (Psoralea Corylifolia): Kích thích phân bào mầm tóc.
• Amla (Emblica Officinalis): Giàu C, ức chế 5-alpha reductase (DHT).
• Nigella Sativa (Hạt đen), Trigonella (Cỏ cà ri), Rosemary Oil, Lavender Oil.</t>
  </si>
  <si>
    <t>• Đề xuất thay thế bằng: Rosemary Oil, Lavender Oil, Grapefruit Oil.
➜ Thiếu hụt hoàn toàn các sinh hoạt chất tác động trực tiếp vào nang tóc và chặn DHT nội tiết như Bakuchi &amp; Amla.</t>
  </si>
  <si>
    <t>4/10</t>
  </si>
  <si>
    <t>VINCOS đạt mức Trung Bình - Yếu ở công dụng mọc tóc cốt lõi. Việc chỉ dùng tinh dầu kích thích vi tuần hoàn ngoài da (Bưởi, Hương thảo, Lavender) không thể thay thế được cơ chế tác động sinh học của Bakuchi và Amla.</t>
  </si>
  <si>
    <t>Cần bắt buộc bổ sung Bakuchi &amp; Amla (hoặc Hà Thủ Ô Đỏ &amp; Cỏ Mực tại VN) để kéo dài chu kỳ Anagen của tóc đạt 100% Benchmark.</t>
  </si>
  <si>
    <t>2. Dầu nền mỏng nhẹ &amp; Hòa tan bã nhờn</t>
  </si>
  <si>
    <t>• Caprylic/Capric Triglyceride, Coconut Alkanes, C13-15 Alkane, Coco-Caprylate/Caprate, Propylene Glycol Dibenzoate, Jojoba, Sesame, Moringa, Rice Bran Extract.</t>
  </si>
  <si>
    <t>• Caprylic/Capric Triglyceride, C13-15 Alkane, Jojoba Seed Oil, Bran Oil.
➜ Khung nền mỏng nhẹ chuẩn, độ nhớt thấp, thấm nhanh.</t>
  </si>
  <si>
    <t>8.5/10</t>
  </si>
  <si>
    <t>VINCOS xây dựng khung nền mỏng nhẹ rất tốt. Việc kết hợp Caprylic/Capric Triglyceride và C13-15 Alkane giúp hòa tan bã nhờn sâu mà không bít tắc nang tóc (Non-comedogenic).</t>
  </si>
  <si>
    <t>Tối ưu tỷ lệ C13-15 Alkane để tạo cảm giác Dầu khô (Dry-oil finish) tuyệt đối, giúp rửa sạch bã nhờn gàu bẩn cực nhanh khi gội.</t>
  </si>
  <si>
    <t>3. Kháng khuẩn, dịu da đầu &amp; Giảm gàu</t>
  </si>
  <si>
    <t>• Melia Azadirachta (Neem), Curcuma Longa, Húng thánh/Húng tây, Lavender, Clary Sage, Tocopherol.</t>
  </si>
  <si>
    <t>• Olea Europaea Fruit Oil (Dầu Oliu), Melaleuca Alternifolia Leaf Oil (Tràm trà), Castor Oil (Dầu thầu dầu).</t>
  </si>
  <si>
    <t>6/10</t>
  </si>
  <si>
    <t>VINCOS bổ sung Tinh dầu Tràm trà kháng nấm gàu Malassezia tốt. Tuy nhiên việc đưa Olea Europaea (Dầu Oliu) và Castor Oil vào nền làm cho thể tích dầu bị ĐẶC và BẾT DÍNH nặng da đầu.</t>
  </si>
  <si>
    <t>Loại bỏ hoặc hạ tỷ lệ Castor Oil &amp; Dầu Oliu xuống mức tối thiểu; tăng cường các hoạt chất làm dịu da đầu tinh khiết như Bisabolol.</t>
  </si>
  <si>
    <t>4. Chống oxy hóa &amp; Phục hồi màng bảo vệ</t>
  </si>
  <si>
    <t>• Tocopherol (Vitamin E tự nhiên), Helianthus Annuus Extract, Solanum Melongena (Cà tím), Corallina Officinalis, Aloe Barbadensis.</t>
  </si>
  <si>
    <t>• Tocopherol (Vitamin E), Helianthus Annuus (Sunflower) Seed Oil.</t>
  </si>
  <si>
    <t>7.5/10</t>
  </si>
  <si>
    <t>VINCOS đáp ứng tốt khả năng chống oxy hóa cho nền dầu nhờ Tocopherol và Dầu Hướng Dương.</t>
  </si>
  <si>
    <t>Bổ sung Dầu Argan hoặc Dầu Mù U tinh chế để gia tăng khả năng tái tạo màng lipid và phục hồi sợi tóc hư tổn.</t>
  </si>
  <si>
    <t>TỔNG KẾT ĐÁNH GIÁ TƯƠNG ĐỒNG CÔNG THỨC VINCOS SO VỚI BENCHMARK: 6.5 / 10 ĐIỂM</t>
  </si>
  <si>
    <t>CÔNG THỨC ĐỀ XUẤT 1: SỬ DỤNG HOẠT CHẤT NHẬP KHẨU BENCHMARK</t>
  </si>
  <si>
    <t>Phát triển từ nền VINCOS + Loại bỏ dầu béo nặng (Castor/Oliu) + Bổ sung Bakuchi &amp; Amla đạt 100% Benchmark (Lô 100g)</t>
  </si>
  <si>
    <t>Pha (Phase)</t>
  </si>
  <si>
    <t>Tên Nguyên Liệu / INCI Name</t>
  </si>
  <si>
    <t>Tỷ Lệ Đề Xuất (%)</t>
  </si>
  <si>
    <t>Khối Lượng (g) [Lô 100g]</t>
  </si>
  <si>
    <t>Vai Trò Kỹ Thuật Trong Công Thức</t>
  </si>
  <si>
    <t>Nguồn Gốc / Ghi Chú Cung Cấp</t>
  </si>
  <si>
    <t>Đáp Ứng Công Dụng BM nào?</t>
  </si>
  <si>
    <t>Trạng Thái Trong VINCOS Gốc</t>
  </si>
  <si>
    <t>A</t>
  </si>
  <si>
    <t>Caprylic/Capric Triglyceride</t>
  </si>
  <si>
    <t>Dầu nền sinh học mỏng nhẹ, hòa tan bã nhờn</t>
  </si>
  <si>
    <t>Có sẵn trong VINCOS</t>
  </si>
  <si>
    <t>2. Dầu nền mỏng nhẹ</t>
  </si>
  <si>
    <t>Giữ nguyên &amp; Tăng tỷ lệ</t>
  </si>
  <si>
    <t>C13-15 Alkane (Neossance Hemisqualane)</t>
  </si>
  <si>
    <t>Alkane sinh học bay hơi nhẹ, hòa tan bã nhờn cực nhanh, giảm rít</t>
  </si>
  <si>
    <t>Simmondsia Chinensis (Jojoba) Seed Oil</t>
  </si>
  <si>
    <t>Dầu Jojoba cân bằng tuyến bã nhờn da đầu</t>
  </si>
  <si>
    <t>2 &amp; 4. Dầu nền &amp; Phục hồi</t>
  </si>
  <si>
    <t>Giữ nguyên</t>
  </si>
  <si>
    <t>Oryza Sativa (Rice) Bran Oil</t>
  </si>
  <si>
    <t>Dầu cám gạo giàu Gamma-Oryzanol chống lão hóa</t>
  </si>
  <si>
    <t>4. Chống oxy hóa</t>
  </si>
  <si>
    <t>Helianthus Annuus (Sunflower) Seed Oil</t>
  </si>
  <si>
    <t>Dầu hướng dương dưỡng mềm mượt sợi tóc</t>
  </si>
  <si>
    <t>4. Phục hồi màng bảo vệ</t>
  </si>
  <si>
    <t>Argania Spinosa (Argan) Kernel Oil</t>
  </si>
  <si>
    <t>Dầu Argan phục hồi cấu trúc sợi tóc hư tổn</t>
  </si>
  <si>
    <t>Sẵn có</t>
  </si>
  <si>
    <t>Bổ sung nâng cấp</t>
  </si>
  <si>
    <t>B</t>
  </si>
  <si>
    <t>Psoralea Corylifolia Seed Extract (Bakuchi Extract / Bakuchiol)</t>
  </si>
  <si>
    <t>Kích thích mọc tóc, tăng sinh tế bào mầm nang tóc (thay Retinol)</t>
  </si>
  <si>
    <t>Nhập khẩu / Cần bổ sung</t>
  </si>
  <si>
    <t>1. Mọc tóc &amp; Nuôi nang tóc</t>
  </si>
  <si>
    <t>Bổ sung mới (BM)</t>
  </si>
  <si>
    <t>Emblica Officinalis Fruit Extract (Amla Extract - Chiết xuất Me Rừng)</t>
  </si>
  <si>
    <t>Ức chế 5-alpha reductase (DHT), chống rụng tóc, đen tóc</t>
  </si>
  <si>
    <t>Sẵn có / Nhập khẩu</t>
  </si>
  <si>
    <t>Nigella Sativa Seed Oil (Dầu Hạt Đen / Black Cumin)</t>
  </si>
  <si>
    <t>Giàu Thymoquinone kháng viêm, nuôi gốc tóc</t>
  </si>
  <si>
    <t>Sẵn có / BM</t>
  </si>
  <si>
    <t>1 &amp; 4. Mọc tóc &amp; Phục hồi</t>
  </si>
  <si>
    <t>C</t>
  </si>
  <si>
    <t>alpha-Bisabolol</t>
  </si>
  <si>
    <t>Làm dịu da đầu bị kích ứng, giảm đỏ tức thì</t>
  </si>
  <si>
    <t>Sẵn có tinh khiết</t>
  </si>
  <si>
    <t>3. Dịu da đầu</t>
  </si>
  <si>
    <t>Bổ sung mới</t>
  </si>
  <si>
    <t>Rosmarinus Officinalis (Rosemary) Leaf Oil</t>
  </si>
  <si>
    <t>Tinh dầu Hương thảo kích thích vi tuần hoàn mọc tóc, trị gàu</t>
  </si>
  <si>
    <t>1 &amp; 3. Mọc tóc &amp; Trị gàu</t>
  </si>
  <si>
    <t>Tăng tỷ lệ hương</t>
  </si>
  <si>
    <t>Lavandula Angustifolia (Lavender) Flower Oil</t>
  </si>
  <si>
    <t>Tinh dầu Oải hương làm dịu thần kinh da đầu, giảm stress nang tóc</t>
  </si>
  <si>
    <t>1 &amp; 3. Mọc tóc &amp; Dịu da</t>
  </si>
  <si>
    <t>Citrus Grandis (Grapefruit) Peel Oil</t>
  </si>
  <si>
    <t>Tinh dầu Vỏ bưởi kích thích lưu thông máu da đầu, nồng nàn thảo mộc</t>
  </si>
  <si>
    <t>1. Kích thích mọc tóc</t>
  </si>
  <si>
    <t>Melaleuca Alternifolia (Tea Tree) Leaf Oil</t>
  </si>
  <si>
    <t>Tinh dầu Tràm trà diệt nấm Malassezia gây gàu ngứa</t>
  </si>
  <si>
    <t>3. Kháng khuẩn &amp; Trị gàu</t>
  </si>
  <si>
    <t>Tocopherol (D-alpha-Tocopherol natural)</t>
  </si>
  <si>
    <t>Vitamin E tự nhiên, chống gắt dầu &amp; chống oxy hóa da đầu</t>
  </si>
  <si>
    <t>Tăng tỷ lệ</t>
  </si>
  <si>
    <t>X</t>
  </si>
  <si>
    <t>Olea Europaea Fruit Oil (Dầu Oliu) &amp; Castor Oil</t>
  </si>
  <si>
    <t>LOẠI BỎ: Tránh làm bết dính, nặng tóc và gây bít tắc lỗ chân lông</t>
  </si>
  <si>
    <t>Loại bỏ</t>
  </si>
  <si>
    <t>Khắc phục bết dính</t>
  </si>
  <si>
    <t>Đã loại bỏ khỏi nền</t>
  </si>
  <si>
    <t>TỔNG CỘNG (TOTAL)</t>
  </si>
  <si>
    <t>CÔNG THỨC ĐỀ XUẤT 2: SỬ DỤNG 100% NGUYÊN LIỆU THAY THẾ TẠI VIỆT NAM</t>
  </si>
  <si>
    <t>Phát triển từ nền VINCOS + Hà Thủ Ô, Cỏ Mực, Tinh dầu Bưởi, Mù U Bến Tre - Đạt 100% Công Dụng Benchmark</t>
  </si>
  <si>
    <t>Tên Nguyên Liệu Thay Thế VN / INCI Name</t>
  </si>
  <si>
    <t>Cơ Chế Thay Thế Đảm Bảo 100% Công Dụng BM</t>
  </si>
  <si>
    <t>Nguồn Cung Tại Việt Nam</t>
  </si>
  <si>
    <t>Thay Thế Cho NL Nào Của BM?</t>
  </si>
  <si>
    <t>Đánh Giá Chi Phí (COGS)</t>
  </si>
  <si>
    <t>Có sẵn tại VINCOS (Brenntag)</t>
  </si>
  <si>
    <t>Tối ưu</t>
  </si>
  <si>
    <t>Caprylyl Carbonate (hoặc C13-15 Alkane)</t>
  </si>
  <si>
    <t>Thay C13-15 Alkane, cho cảm giác da khô thoáng nhẹ, hòa tan bã nhờn</t>
  </si>
  <si>
    <t>Đại lý Evonik / BASF VN</t>
  </si>
  <si>
    <t>Giá tương đương</t>
  </si>
  <si>
    <t>Cân bằng tuyến bã nhờn da đầu</t>
  </si>
  <si>
    <t>Có sẵn tại VINCOS</t>
  </si>
  <si>
    <t>Chuẩn</t>
  </si>
  <si>
    <t>Oryza Sativa (Rice) Bran Oil &amp; Sunflower Oil</t>
  </si>
  <si>
    <t>Dầu Cám gạo &amp; Hướng dương chống oxy hóa, phục hồi sợi tóc</t>
  </si>
  <si>
    <t>Calophyllum Inophyllum Seed Oil (Dầu Mù U Bến Tre)</t>
  </si>
  <si>
    <t>Thay Black Cumin: Giàu Calophyllolide kháng viêm, tái tạo da đầu</t>
  </si>
  <si>
    <t>Đặc sản Bến Tre Tinh Chế</t>
  </si>
  <si>
    <t>Thay Nigella Sativa (Hạt Đen)</t>
  </si>
  <si>
    <t>Rẻ hơn 35%</t>
  </si>
  <si>
    <t>Polygonum Multiflorum Root Extract (Hà Thủ Ô Đỏ)</t>
  </si>
  <si>
    <t>Thay Bakuchi: Giàu Stilbene Glycoside nuôi dưỡng gốc mầm nang tóc</t>
  </si>
  <si>
    <t>Cosmeplant / VietEssence VN</t>
  </si>
  <si>
    <t>Thay Bakuchi Extract</t>
  </si>
  <si>
    <t>Rẻ hơn 40%</t>
  </si>
  <si>
    <t>Eclipta Prostrata Extract (Chiết xuất Cỏ Mực / Nhọ Nồi)</t>
  </si>
  <si>
    <t>Thay Amla: Giàu Wedelolactone ức chế 5-alpha reductase (DHT)</t>
  </si>
  <si>
    <t>Chiết xuất thảo dược VN</t>
  </si>
  <si>
    <t>Thay Amla Extract</t>
  </si>
  <si>
    <t>Rẻ hơn 50%</t>
  </si>
  <si>
    <t>Citrus Grandis (Grapefruit) Peel Oil (Tinh dầu Vỏ Bưởi VN)</t>
  </si>
  <si>
    <t>Giàu D-Limonene kích thích lưu thông máu da đầu, nồng nàn hương thảo dược</t>
  </si>
  <si>
    <t>Có sẵn tại VINCOS / Bến Tre</t>
  </si>
  <si>
    <t>1. Mọc tóc &amp; Tạo hương</t>
  </si>
  <si>
    <t>Chi phí rất rẻ</t>
  </si>
  <si>
    <t>Melaleuca Alternifolia Oil (Tinh dầu Tràm Trà Huế)</t>
  </si>
  <si>
    <t>Thay Neem Oil: Giàu Terpinen-4-ol diệt nấm gàu, trị ngứa da đầu</t>
  </si>
  <si>
    <t>Có sẵn tại VINCOS / Huế</t>
  </si>
  <si>
    <t>3. Kháng nấm gàu</t>
  </si>
  <si>
    <t>Rosmarinus Officinalis Leaf Oil (Tinh dầu Hương thảo)</t>
  </si>
  <si>
    <t>Kích thích mọc tóc, tạo tầng hương thảo mộc trị liệu nồng nàn</t>
  </si>
  <si>
    <t>Lavandula Angustifolia Flower Oil (Tinh dầu Oải hương)</t>
  </si>
  <si>
    <t>Làm dịu da đầu, giảm ngứa, tạo sự thư thái tâm trí</t>
  </si>
  <si>
    <t>alpha-Bisabolol tinh khiết</t>
  </si>
  <si>
    <t>Làm dịu da đầu kích ứng, giảm mẫn đỏ tức thì</t>
  </si>
  <si>
    <t>Sẵn có nhập khẩu</t>
  </si>
  <si>
    <t>D-alpha-Tocopherol (Vitamin E tự nhiên)</t>
  </si>
  <si>
    <t>Chống oxy hóa trực tiếp cho dầu béo, ngăn gắt dầu</t>
  </si>
  <si>
    <t>ĐÁNH GIÁ KỸ THUẬT &amp; PHÂN TÍCH DƯỢC LÝ CÔNG THỨC ĐỀ XUẤT</t>
  </si>
  <si>
    <t>Phân tích cảm quan, độ ổn định, tính bết rít và chi phí sản xuất thương mại</t>
  </si>
  <si>
    <t>Tiêu Chí Kỹ Thuật (Criteria)</t>
  </si>
  <si>
    <t>Công Thức VINCOS Gốc</t>
  </si>
  <si>
    <t>Công Thức Đề Xuất Nâng Cấp V2</t>
  </si>
  <si>
    <t>Phân Tích Chi Tiết &amp; Lợi Ích Cải Tiến (Formulation Insights)</t>
  </si>
  <si>
    <t>Đề Xuất NCC</t>
  </si>
  <si>
    <t>1. Cơ Chế Tác Động Nang Tóc (Hair Growth Mechanism)</t>
  </si>
  <si>
    <t>• VINCOS chủ yếu kích thích tuần hoàn máu ngoài da bằng Tinh dầu (Hương thảo, Bưởi, Lavender).
• Thiếu hoạt chất ức chế DHT (Dihydrotestosterone) &amp; phục hồi nang tóc suy yếu từ gốc.</t>
  </si>
  <si>
    <t>• Bổ sung Amla / Cỏ Mực (ức chế 5-alpha reductase mạnh mẽ).
• Bổ sung Bakuchiol / Hà Thủ Ô Đỏ kích thích tăng sinh collagen &amp; tái tạo tế bào nang tóc.
• Bổ sung Tinh dầu Vỏ Bưởi kích thích vi tuần hoàn.</t>
  </si>
  <si>
    <t>NÂNG CẤP ĐỘT PHÁ:
Chuyển từ cơ chế 'kích thích bề mặt' sang 'tác động sinh học đa tầng': vừa kích thích lưu thông máu (Rosemary, Bưởi), vừa ngăn rụng tóc do nội tiết/DHT (Amla/Cỏ mực), vừa trẻ hóa da đầu (Bakuchiol/Hà thủ ô). Đạt 100% hiệu quả nuôi nang tóc của Benchmark.</t>
  </si>
  <si>
    <t>2. Cảm Giác Trên Da Đầu &amp; Cấu Trúc Dầu (Sensory &amp; Viscosity)</t>
  </si>
  <si>
    <t>• Mẫu thử hiện tại ĐẶC &amp; NẶNG, bết dính do chứa Castor Oil / Dầu Oliu / Dầu béo thực vật tỷ lệ cao.</t>
  </si>
  <si>
    <t>• Tăng Caprylyl Carbonate / Alkane (15%) &amp; Caprylic Triglyceride (38%).
• Loại bỏ hoàn toàn Dầu Oliu &amp; Castor Oil.
• Nền lỏng mượt, tạo cảm giác Dầu khô (Dry-oil finish) chuẩn Benchmark.</t>
  </si>
  <si>
    <t>TỐI ƯU CẢM GIÁC SỬ DỤNG:
Dầu mỏng nhẹ, độ dàn trải cao, dễ dàng thẩm thấu sâu vào da đầu mà không gây cảm giác 'đổ dầu' nặng trĩu. Cảm giác mát dịu sảng khoái nhẹ nhàng.</t>
  </si>
  <si>
    <t>3. Tầng Mùi Hương Thảo Dược (Aroma Profile)</t>
  </si>
  <si>
    <t>• Mùi thảo dược nhạt nhòa, chưa thể hiện được định vị Dược mỹ phẩm cao cấp.</t>
  </si>
  <si>
    <t>• Tăng nồng độ tinh dầu thiên nhiên nguyên chất (Hương thảo 1.0-1.2%, Bưởi 1.0%, Tràm trà 0.5%, Lavender 0.8%).
• Không dùng hương liệu tổng hợp (Parfum).</t>
  </si>
  <si>
    <t>MÙI HƯƠNG DƯỢC MỸ PHẨM CHUYÊN SÂU:
Tầng hương thảo mộc tự nhiên nồng nàn, sâu thẳm, tạo cảm giác trị liệu spa thư giãn sang trọng ngay khi thoa lên da đầu.</t>
  </si>
  <si>
    <t>4. Khả Năng Hòa Tan Bã Nhờn &amp; Gội Rửa (Sebum Cleansing &amp; Washability)</t>
  </si>
  <si>
    <t>• Dầu béo Oliu &amp; Castor dính chặt vào sợi tóc, rất khó gội sạch.</t>
  </si>
  <si>
    <t>• Kết hợp hoàn hảo Caprylic/Capric Triglyceride + C13-15 Alkane + Jojoba Oil.
• Dầu mỏng giúp nhũ hóa và cuốn trôi bã nhờn, gàu bẩn cực nhanh chỉ sau 1-2 lần gội.</t>
  </si>
  <si>
    <t>TẢM RỬA DỄ DÀNG (EASY RINSE-OFF):
Đảm bảo đúng chức năng Pre-shampoo Scalp Oil: Làm mềm bã nhờn cứng đầu trên da đầu, hòa tan vảy gàu rồi cuốn trôi sạch sẽ khi dùng dầu gội thông thường mà không để lại dư lượng gây bết.</t>
  </si>
  <si>
    <t>5. Tăng Hạn Sử Dụng &amp; Chống Gắt Dầu (Stability &amp; Anti-oxidation)</t>
  </si>
  <si>
    <t>• Hàm lượng Tocopherol thấp dễ bị gắt dầu.</t>
  </si>
  <si>
    <t>• Nâng hàm lượng Tocopherol (D-alpha-Tocopherol tự nhiên) lên 0.7%.</t>
  </si>
  <si>
    <t>TĂNG HẠN SỬ DỤNG SẢN PHẨM:
Tocopherol đóng vai trò là chất chống oxy hóa trực tiếp, bảo vệ Dầu Jojoba, Dầu Cám gạo và Dầu Hướng dương không bị rancid (gắt dầu) sau thời gian dài lưu kho.</t>
  </si>
  <si>
    <t>Sẵn có tại VN</t>
  </si>
  <si>
    <t>DANH MỤC NGUYÊN LIỆU THAY THẾ NỘI ĐỊA TẠI VIỆT NAM</t>
  </si>
  <si>
    <t>Giải pháp tối ưu nguồn cung, giảm chi phí &amp; chủ động sản xuất mà vẫn đảm bảo 100% công dụng Benchmark</t>
  </si>
  <si>
    <t>Nguyên Liệu Cần Thay Thế (Của BM / Đề Xuất)</t>
  </si>
  <si>
    <t>Nguyên Liệu Thay Thế Sẵn Có Tại VN</t>
  </si>
  <si>
    <t>Tên INCI / Nguồn Gốc Thảo Dược VN</t>
  </si>
  <si>
    <t>Tỷ Lệ Thay Thế (%)</t>
  </si>
  <si>
    <t>Cơ Chế Đảm Bảo 100% Công Dụng</t>
  </si>
  <si>
    <t>Nhà Cung Cấp / Đánh Giá Chi Phí</t>
  </si>
  <si>
    <t>Psoralea Corylifolia Seed Extract (Bakuchi Extract)</t>
  </si>
  <si>
    <t>Chiết xuất Hà Thủ Ô Đỏ + Chiết xuất Vỏ Bưởi (D-Limonene &amp; Flavonoid)</t>
  </si>
  <si>
    <t>Polygonum Multiflorum Root Extract &amp; Citrus Grandis Peel Oil</t>
  </si>
  <si>
    <t>2.0% - 3.0%</t>
  </si>
  <si>
    <t>Hà thủ ô đỏ chứa Stilbene Glycoside giúp nuôi dưỡng mầm nang tóc, kết hợp tinh dầu Bưởi kích thích tuần hoàn máu cực mạnh, thay thế hoàn hảo cơ chế kích thích mọc tóc của Bakuchi.</t>
  </si>
  <si>
    <t>Sẵn có tại Việt Nam (Chemipol, VietEssence, Cosmeplant)
➜ Chi phí rẻ hơn 40% so với Bakuchi nhập khẩu.</t>
  </si>
  <si>
    <t>Emblica Officinalis Fruit Extract (Amla Extract / Me rừng)</t>
  </si>
  <si>
    <t>Chiết xuất Cỏ Mực (Nhọ Nồi) hoặc Chiết xuất Trà Xanh đậm đặc</t>
  </si>
  <si>
    <t>Eclipta Prostrata Extract / Camellia Sinensis Leaf Extract</t>
  </si>
  <si>
    <t>1.5% - 2.0%</t>
  </si>
  <si>
    <t>Cỏ mực (Eclipta Prostrata) trong y học cổ truyền Việt Nam là 'thần dược' trị hói đầu, chứa Wedelolactone giúp ức chế DHT mạnh mẽ tương tự như Amla.</t>
  </si>
  <si>
    <t>Sẵn có rất phong phú tại VN.
➜ Chủ động nguồn cung, giá thành tối ưu.</t>
  </si>
  <si>
    <t>Caprylyl Carbonate / Isododecane mỏng</t>
  </si>
  <si>
    <t>Caprylyl Carbonate hoặc Hydrogenated Polyisobutene mỏng</t>
  </si>
  <si>
    <t>5.0% - 10.0%</t>
  </si>
  <si>
    <t>Caprylyl Carbonate cho cảm giác da khô, thoáng nhẹ, khả năng hòa tan bã nhờn tương đương C13-15 Alkane, giúp dầu không bị bết rít.</t>
  </si>
  <si>
    <t>Sẵn có từ đại lý BASF / Evonik tại VN.
➜ Chi phí tương đương.</t>
  </si>
  <si>
    <t>Melia Azadirachta Extract (Sầu Đâu / Neem Oil)</t>
  </si>
  <si>
    <t>Tinh dầu Tràm Trà (Tea Tree Oil) hoặc Chiết xuất Lá Bàng / Kim Ngân Hoa</t>
  </si>
  <si>
    <t>Melaleuca Alternifolia Leaf Oil / Lonicera Japonica Flower Extract</t>
  </si>
  <si>
    <t>0.5% - 1.0%</t>
  </si>
  <si>
    <t>Tràm trà chứa Terpinen-4-ol kháng nấm Malassezia (gây gàu) cực mạnh, được chứng minh lâm sàng có hiệu quả tương đương Neem Oil.</t>
  </si>
  <si>
    <t>Sẵn có dồi dào tại VN (Tràm Huế/Tràm Đồng Tháp).
➜ Độ tinh khiết cao, hương thơm dễ chịu hơn Neem Oil.</t>
  </si>
  <si>
    <t>Dầu Mù U (Tamanu Oil) Tinh Chế hoặc Dầu Hạt Mè (Sesame Oil)</t>
  </si>
  <si>
    <t>Calophyllum Inophyllum Seed Oil / Sesamum Indicum Seed Oil</t>
  </si>
  <si>
    <t>1.0% - 2.0%</t>
  </si>
  <si>
    <t>Dầu Mù U giàu Calophyllolide kháng viêm, chống oxy hóa và phục hồi nang tóc tổn thương cực tốt.</t>
  </si>
  <si>
    <t>Đặc sản Việt Nam (Mù U Bến Tre).
➜ Tăng giá trị câu chuyện thương hiệu (Storytelling).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</si>
</sst>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FFFFFF"/>
      <name val="Calibri"/>
      <family val="2"/>
    </font>
    <font>
      <i/>
      <sz val="11"/>
      <color rgb="FFF3E5AB"/>
      <name val="Calibri"/>
      <family val="2"/>
    </font>
    <font>
      <b/>
      <sz val="11"/>
      <color rgb="FFFFFFFF"/>
      <name val="Calibri"/>
      <family val="2"/>
    </font>
    <font>
      <sz val="11"/>
      <color rgb="FF2A1B20"/>
      <name val="Calibri"/>
      <family val="2"/>
    </font>
    <font>
      <b/>
      <sz val="11"/>
      <color rgb="FF2A1B20"/>
      <name val="Calibri"/>
      <family val="2"/>
    </font>
    <font>
      <sz val="11"/>
      <color theme="0"/>
      <name val="Calibri"/>
      <family val="2"/>
      <scheme val="minor"/>
    </font>
    <font>
      <i/>
      <sz val="11"/>
      <color theme="0"/>
      <name val="Calibri"/>
      <family val="2"/>
    </font>
  </fonts>
  <fills count="7">
    <fill>
      <patternFill patternType="none"/>
    </fill>
    <fill>
      <patternFill patternType="gray125"/>
    </fill>
    <fill>
      <patternFill patternType="solid">
        <fgColor rgb="FF3A242B"/>
        <bgColor rgb="FF3A242B"/>
      </patternFill>
    </fill>
    <fill>
      <patternFill patternType="solid">
        <fgColor rgb="FFFADBD8"/>
        <bgColor rgb="FFFADBD8"/>
      </patternFill>
    </fill>
    <fill>
      <patternFill patternType="solid">
        <fgColor rgb="FFFBF0F4"/>
        <bgColor rgb="FFFBF0F4"/>
      </patternFill>
    </fill>
    <fill>
      <patternFill patternType="solid">
        <fgColor rgb="FFF2D6E2"/>
        <bgColor rgb="FFF2D6E2"/>
      </patternFill>
    </fill>
    <fill>
      <patternFill patternType="solid">
        <fgColor rgb="FFD4EDDA"/>
        <bgColor rgb="FFD4EDDA"/>
      </patternFill>
    </fill>
  </fills>
  <borders count="2">
    <border>
      <left/>
      <right/>
      <top/>
      <bottom/>
      <diagonal/>
    </border>
    <border>
      <left style="thin">
        <color rgb="FFE6CBD5"/>
      </left>
      <right style="thin">
        <color rgb="FFE6CBD5"/>
      </right>
      <top style="thin">
        <color rgb="FFE6CBD5"/>
      </top>
      <bottom style="thin">
        <color rgb="FFE6CBD5"/>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10" fontId="4" fillId="0" borderId="1" xfId="0" applyNumberFormat="1" applyFont="1" applyBorder="1" applyAlignment="1">
      <alignment horizontal="right" vertical="center" wrapText="1"/>
    </xf>
    <xf numFmtId="2" fontId="4" fillId="0" borderId="1" xfId="0" applyNumberFormat="1" applyFont="1" applyBorder="1" applyAlignment="1">
      <alignment horizontal="right" vertical="center" wrapText="1"/>
    </xf>
    <xf numFmtId="0" fontId="4" fillId="5" borderId="1" xfId="0" applyFont="1" applyFill="1" applyBorder="1" applyAlignment="1">
      <alignment horizontal="center" vertical="center" wrapText="1"/>
    </xf>
    <xf numFmtId="0" fontId="0" fillId="5" borderId="1" xfId="0" applyFill="1" applyBorder="1"/>
    <xf numFmtId="0" fontId="5" fillId="5" borderId="1" xfId="0" applyFont="1" applyFill="1" applyBorder="1" applyAlignment="1">
      <alignment horizontal="right" vertical="center" wrapText="1"/>
    </xf>
    <xf numFmtId="10" fontId="5" fillId="5" borderId="1" xfId="0" applyNumberFormat="1" applyFont="1" applyFill="1" applyBorder="1" applyAlignment="1">
      <alignment horizontal="right" vertical="center" wrapText="1"/>
    </xf>
    <xf numFmtId="2" fontId="5" fillId="5" borderId="1" xfId="0" applyNumberFormat="1" applyFont="1" applyFill="1" applyBorder="1" applyAlignment="1">
      <alignment horizontal="right" vertical="center" wrapText="1"/>
    </xf>
    <xf numFmtId="0" fontId="4" fillId="6"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2" borderId="0" xfId="0" applyFont="1" applyFill="1" applyAlignment="1">
      <alignment horizontal="center" vertical="center" wrapText="1"/>
    </xf>
    <xf numFmtId="0" fontId="0" fillId="0" borderId="0" xfId="0"/>
    <xf numFmtId="0" fontId="3"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7" fillId="2" borderId="0" xfId="0" applyFont="1" applyFill="1" applyAlignment="1">
      <alignment horizontal="center" vertical="center" wrapText="1"/>
    </xf>
    <xf numFmtId="0" fontId="6" fillId="0" borderId="0" xfId="0" applyFont="1"/>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opLeftCell="A5" workbookViewId="0">
      <selection activeCell="G6" sqref="G6"/>
    </sheetView>
  </sheetViews>
  <sheetFormatPr defaultRowHeight="14.5" x14ac:dyDescent="0.35"/>
  <cols>
    <col min="1" max="1" width="6" customWidth="1"/>
    <col min="2" max="2" width="22" customWidth="1"/>
    <col min="3" max="4" width="32" customWidth="1"/>
    <col min="5" max="5" width="12" customWidth="1"/>
    <col min="6" max="6" width="32" customWidth="1"/>
    <col min="7" max="7" width="28" customWidth="1"/>
    <col min="8" max="8" width="25" customWidth="1"/>
  </cols>
  <sheetData>
    <row r="1" spans="1:8" ht="28" customHeight="1" x14ac:dyDescent="0.35">
      <c r="A1" s="23" t="s">
        <v>0</v>
      </c>
      <c r="B1" s="21"/>
      <c r="C1" s="21"/>
      <c r="D1" s="21"/>
      <c r="E1" s="21"/>
      <c r="F1" s="21"/>
      <c r="G1" s="21"/>
      <c r="H1" s="21"/>
    </row>
    <row r="2" spans="1:8" ht="20" customHeight="1" x14ac:dyDescent="0.35">
      <c r="A2" s="24" t="s">
        <v>1</v>
      </c>
      <c r="B2" s="25"/>
      <c r="C2" s="25"/>
      <c r="D2" s="25"/>
      <c r="E2" s="25"/>
      <c r="F2" s="25"/>
      <c r="G2" s="25"/>
      <c r="H2" s="25"/>
    </row>
    <row r="4" spans="1:8" ht="28" customHeight="1" x14ac:dyDescent="0.35">
      <c r="A4" s="1" t="s">
        <v>2</v>
      </c>
      <c r="B4" s="1" t="s">
        <v>3</v>
      </c>
      <c r="C4" s="1" t="s">
        <v>4</v>
      </c>
      <c r="D4" s="1" t="s">
        <v>5</v>
      </c>
      <c r="E4" s="1" t="s">
        <v>6</v>
      </c>
      <c r="F4" s="1" t="s">
        <v>7</v>
      </c>
      <c r="G4" s="1" t="s">
        <v>8</v>
      </c>
      <c r="H4" s="1" t="s">
        <v>9</v>
      </c>
    </row>
    <row r="5" spans="1:8" ht="114" customHeight="1" x14ac:dyDescent="0.35">
      <c r="A5" s="2">
        <v>1</v>
      </c>
      <c r="B5" s="3" t="s">
        <v>10</v>
      </c>
      <c r="C5" s="3" t="s">
        <v>11</v>
      </c>
      <c r="D5" s="3" t="s">
        <v>12</v>
      </c>
      <c r="E5" s="4" t="s">
        <v>13</v>
      </c>
      <c r="F5" s="3" t="s">
        <v>14</v>
      </c>
      <c r="G5" s="3" t="s">
        <v>15</v>
      </c>
      <c r="H5" s="3"/>
    </row>
    <row r="6" spans="1:8" ht="102" customHeight="1" x14ac:dyDescent="0.35">
      <c r="A6" s="5">
        <v>2</v>
      </c>
      <c r="B6" s="6" t="s">
        <v>16</v>
      </c>
      <c r="C6" s="6" t="s">
        <v>17</v>
      </c>
      <c r="D6" s="6" t="s">
        <v>18</v>
      </c>
      <c r="E6" s="7" t="s">
        <v>19</v>
      </c>
      <c r="F6" s="6" t="s">
        <v>20</v>
      </c>
      <c r="G6" s="6" t="s">
        <v>21</v>
      </c>
      <c r="H6" s="6"/>
    </row>
    <row r="7" spans="1:8" ht="102.5" customHeight="1" x14ac:dyDescent="0.35">
      <c r="A7" s="2">
        <v>3</v>
      </c>
      <c r="B7" s="3" t="s">
        <v>22</v>
      </c>
      <c r="C7" s="3" t="s">
        <v>23</v>
      </c>
      <c r="D7" s="3" t="s">
        <v>24</v>
      </c>
      <c r="E7" s="7" t="s">
        <v>25</v>
      </c>
      <c r="F7" s="3" t="s">
        <v>26</v>
      </c>
      <c r="G7" s="3" t="s">
        <v>27</v>
      </c>
      <c r="H7" s="3"/>
    </row>
    <row r="8" spans="1:8" ht="80.5" customHeight="1" x14ac:dyDescent="0.35">
      <c r="A8" s="5">
        <v>4</v>
      </c>
      <c r="B8" s="6" t="s">
        <v>28</v>
      </c>
      <c r="C8" s="6" t="s">
        <v>29</v>
      </c>
      <c r="D8" s="6" t="s">
        <v>30</v>
      </c>
      <c r="E8" s="7" t="s">
        <v>31</v>
      </c>
      <c r="F8" s="6" t="s">
        <v>32</v>
      </c>
      <c r="G8" s="6" t="s">
        <v>33</v>
      </c>
      <c r="H8" s="6"/>
    </row>
    <row r="10" spans="1:8" ht="31" customHeight="1" x14ac:dyDescent="0.35">
      <c r="A10" s="22" t="s">
        <v>34</v>
      </c>
      <c r="B10" s="21"/>
      <c r="C10" s="21"/>
      <c r="D10" s="21"/>
      <c r="E10" s="21"/>
      <c r="F10" s="21"/>
      <c r="G10" s="21"/>
      <c r="H10" s="21"/>
    </row>
  </sheetData>
  <mergeCells count="3">
    <mergeCell ref="A2:H2"/>
    <mergeCell ref="A10:H10"/>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F10" sqref="F10"/>
    </sheetView>
  </sheetViews>
  <sheetFormatPr defaultRowHeight="14.5" x14ac:dyDescent="0.35"/>
  <cols>
    <col min="1" max="1" width="8" customWidth="1"/>
    <col min="2" max="2" width="38" customWidth="1"/>
    <col min="3" max="3" width="14" customWidth="1"/>
    <col min="4" max="4" width="35" customWidth="1"/>
    <col min="5" max="5" width="22" customWidth="1"/>
    <col min="6" max="6" width="25" customWidth="1"/>
    <col min="7" max="7" width="20" customWidth="1"/>
    <col min="8" max="8" width="25" customWidth="1"/>
  </cols>
  <sheetData>
    <row r="1" spans="1:8" ht="28" customHeight="1" x14ac:dyDescent="0.35">
      <c r="A1" s="23" t="s">
        <v>35</v>
      </c>
      <c r="B1" s="21"/>
      <c r="C1" s="21"/>
      <c r="D1" s="21"/>
      <c r="E1" s="21"/>
      <c r="F1" s="21"/>
      <c r="G1" s="21"/>
      <c r="H1" s="21"/>
    </row>
    <row r="2" spans="1:8" ht="20" customHeight="1" x14ac:dyDescent="0.35">
      <c r="A2" s="20" t="s">
        <v>36</v>
      </c>
      <c r="B2" s="21"/>
      <c r="C2" s="21"/>
      <c r="D2" s="21"/>
      <c r="E2" s="21"/>
      <c r="F2" s="21"/>
      <c r="G2" s="21"/>
      <c r="H2" s="21"/>
    </row>
    <row r="4" spans="1:8" ht="28" customHeight="1" x14ac:dyDescent="0.35">
      <c r="A4" s="1" t="s">
        <v>37</v>
      </c>
      <c r="B4" s="1" t="s">
        <v>38</v>
      </c>
      <c r="C4" s="1" t="s">
        <v>39</v>
      </c>
      <c r="D4" s="1" t="s">
        <v>41</v>
      </c>
      <c r="E4" s="1" t="s">
        <v>42</v>
      </c>
      <c r="F4" s="1" t="s">
        <v>43</v>
      </c>
      <c r="G4" s="1" t="s">
        <v>44</v>
      </c>
      <c r="H4" s="1" t="s">
        <v>9</v>
      </c>
    </row>
    <row r="5" spans="1:8" ht="36" customHeight="1" x14ac:dyDescent="0.35">
      <c r="A5" s="5" t="s">
        <v>45</v>
      </c>
      <c r="B5" s="6" t="s">
        <v>46</v>
      </c>
      <c r="C5" s="8">
        <v>0.38</v>
      </c>
      <c r="D5" s="6" t="s">
        <v>47</v>
      </c>
      <c r="E5" s="6" t="s">
        <v>48</v>
      </c>
      <c r="F5" s="6" t="s">
        <v>49</v>
      </c>
      <c r="G5" s="2" t="s">
        <v>50</v>
      </c>
      <c r="H5" s="6"/>
    </row>
    <row r="6" spans="1:8" ht="36" customHeight="1" x14ac:dyDescent="0.35">
      <c r="A6" s="5" t="s">
        <v>45</v>
      </c>
      <c r="B6" s="6" t="s">
        <v>51</v>
      </c>
      <c r="C6" s="8">
        <v>0.15</v>
      </c>
      <c r="D6" s="6" t="s">
        <v>52</v>
      </c>
      <c r="E6" s="6" t="s">
        <v>48</v>
      </c>
      <c r="F6" s="6" t="s">
        <v>49</v>
      </c>
      <c r="G6" s="2" t="s">
        <v>50</v>
      </c>
      <c r="H6" s="6"/>
    </row>
    <row r="7" spans="1:8" ht="36" customHeight="1" x14ac:dyDescent="0.35">
      <c r="A7" s="5" t="s">
        <v>45</v>
      </c>
      <c r="B7" s="6" t="s">
        <v>53</v>
      </c>
      <c r="C7" s="8">
        <v>0.05</v>
      </c>
      <c r="D7" s="6" t="s">
        <v>54</v>
      </c>
      <c r="E7" s="6" t="s">
        <v>48</v>
      </c>
      <c r="F7" s="6" t="s">
        <v>55</v>
      </c>
      <c r="G7" s="2" t="s">
        <v>56</v>
      </c>
      <c r="H7" s="6"/>
    </row>
    <row r="8" spans="1:8" ht="36" customHeight="1" x14ac:dyDescent="0.35">
      <c r="A8" s="5" t="s">
        <v>45</v>
      </c>
      <c r="B8" s="6" t="s">
        <v>57</v>
      </c>
      <c r="C8" s="8">
        <v>0.05</v>
      </c>
      <c r="D8" s="6" t="s">
        <v>58</v>
      </c>
      <c r="E8" s="6" t="s">
        <v>48</v>
      </c>
      <c r="F8" s="6" t="s">
        <v>59</v>
      </c>
      <c r="G8" s="2" t="s">
        <v>56</v>
      </c>
      <c r="H8" s="6"/>
    </row>
    <row r="9" spans="1:8" ht="36" customHeight="1" x14ac:dyDescent="0.35">
      <c r="A9" s="5" t="s">
        <v>45</v>
      </c>
      <c r="B9" s="6" t="s">
        <v>60</v>
      </c>
      <c r="C9" s="8">
        <v>0.05</v>
      </c>
      <c r="D9" s="6" t="s">
        <v>61</v>
      </c>
      <c r="E9" s="6" t="s">
        <v>48</v>
      </c>
      <c r="F9" s="6" t="s">
        <v>62</v>
      </c>
      <c r="G9" s="2" t="s">
        <v>56</v>
      </c>
      <c r="H9" s="6"/>
    </row>
    <row r="10" spans="1:8" ht="36" customHeight="1" x14ac:dyDescent="0.35">
      <c r="A10" s="5" t="s">
        <v>45</v>
      </c>
      <c r="B10" s="6" t="s">
        <v>63</v>
      </c>
      <c r="C10" s="8">
        <v>0.03</v>
      </c>
      <c r="D10" s="6" t="s">
        <v>64</v>
      </c>
      <c r="E10" s="6" t="s">
        <v>65</v>
      </c>
      <c r="F10" s="6" t="s">
        <v>62</v>
      </c>
      <c r="G10" s="10" t="s">
        <v>66</v>
      </c>
      <c r="H10" s="6"/>
    </row>
    <row r="11" spans="1:8" ht="36" customHeight="1" x14ac:dyDescent="0.35">
      <c r="A11" s="5" t="s">
        <v>67</v>
      </c>
      <c r="B11" s="6" t="s">
        <v>68</v>
      </c>
      <c r="C11" s="8">
        <v>1.4999999999999999E-2</v>
      </c>
      <c r="D11" s="6" t="s">
        <v>69</v>
      </c>
      <c r="E11" s="6" t="s">
        <v>70</v>
      </c>
      <c r="F11" s="6" t="s">
        <v>71</v>
      </c>
      <c r="G11" s="10" t="s">
        <v>72</v>
      </c>
      <c r="H11" s="6"/>
    </row>
    <row r="12" spans="1:8" ht="36" customHeight="1" x14ac:dyDescent="0.35">
      <c r="A12" s="5" t="s">
        <v>67</v>
      </c>
      <c r="B12" s="6" t="s">
        <v>73</v>
      </c>
      <c r="C12" s="8">
        <v>0.02</v>
      </c>
      <c r="D12" s="6" t="s">
        <v>74</v>
      </c>
      <c r="E12" s="6" t="s">
        <v>75</v>
      </c>
      <c r="F12" s="6" t="s">
        <v>71</v>
      </c>
      <c r="G12" s="10" t="s">
        <v>72</v>
      </c>
      <c r="H12" s="6"/>
    </row>
    <row r="13" spans="1:8" ht="36" customHeight="1" x14ac:dyDescent="0.35">
      <c r="A13" s="5" t="s">
        <v>67</v>
      </c>
      <c r="B13" s="6" t="s">
        <v>76</v>
      </c>
      <c r="C13" s="8">
        <v>1.4999999999999999E-2</v>
      </c>
      <c r="D13" s="6" t="s">
        <v>77</v>
      </c>
      <c r="E13" s="6" t="s">
        <v>78</v>
      </c>
      <c r="F13" s="6" t="s">
        <v>79</v>
      </c>
      <c r="G13" s="10" t="s">
        <v>72</v>
      </c>
      <c r="H13" s="6"/>
    </row>
    <row r="14" spans="1:8" ht="36" customHeight="1" x14ac:dyDescent="0.35">
      <c r="A14" s="5" t="s">
        <v>80</v>
      </c>
      <c r="B14" s="6" t="s">
        <v>81</v>
      </c>
      <c r="C14" s="8">
        <v>5.0000000000000001E-3</v>
      </c>
      <c r="D14" s="6" t="s">
        <v>82</v>
      </c>
      <c r="E14" s="6" t="s">
        <v>83</v>
      </c>
      <c r="F14" s="6" t="s">
        <v>84</v>
      </c>
      <c r="G14" s="10" t="s">
        <v>85</v>
      </c>
      <c r="H14" s="6"/>
    </row>
    <row r="15" spans="1:8" ht="36" customHeight="1" x14ac:dyDescent="0.35">
      <c r="A15" s="5" t="s">
        <v>80</v>
      </c>
      <c r="B15" s="6" t="s">
        <v>86</v>
      </c>
      <c r="C15" s="8">
        <v>1.2E-2</v>
      </c>
      <c r="D15" s="6" t="s">
        <v>87</v>
      </c>
      <c r="E15" s="6" t="s">
        <v>48</v>
      </c>
      <c r="F15" s="6" t="s">
        <v>88</v>
      </c>
      <c r="G15" s="2" t="s">
        <v>89</v>
      </c>
      <c r="H15" s="6"/>
    </row>
    <row r="16" spans="1:8" ht="36" customHeight="1" x14ac:dyDescent="0.35">
      <c r="A16" s="5" t="s">
        <v>80</v>
      </c>
      <c r="B16" s="6" t="s">
        <v>90</v>
      </c>
      <c r="C16" s="8">
        <v>8.0000000000000002E-3</v>
      </c>
      <c r="D16" s="6" t="s">
        <v>91</v>
      </c>
      <c r="E16" s="6" t="s">
        <v>48</v>
      </c>
      <c r="F16" s="6" t="s">
        <v>92</v>
      </c>
      <c r="G16" s="2" t="s">
        <v>56</v>
      </c>
      <c r="H16" s="6"/>
    </row>
    <row r="17" spans="1:8" ht="36" customHeight="1" x14ac:dyDescent="0.35">
      <c r="A17" s="5" t="s">
        <v>80</v>
      </c>
      <c r="B17" s="6" t="s">
        <v>93</v>
      </c>
      <c r="C17" s="8">
        <v>8.0000000000000002E-3</v>
      </c>
      <c r="D17" s="6" t="s">
        <v>94</v>
      </c>
      <c r="E17" s="6" t="s">
        <v>48</v>
      </c>
      <c r="F17" s="6" t="s">
        <v>95</v>
      </c>
      <c r="G17" s="2" t="s">
        <v>56</v>
      </c>
      <c r="H17" s="6"/>
    </row>
    <row r="18" spans="1:8" ht="36" customHeight="1" x14ac:dyDescent="0.35">
      <c r="A18" s="5" t="s">
        <v>80</v>
      </c>
      <c r="B18" s="6" t="s">
        <v>96</v>
      </c>
      <c r="C18" s="8">
        <v>5.0000000000000001E-3</v>
      </c>
      <c r="D18" s="6" t="s">
        <v>97</v>
      </c>
      <c r="E18" s="6" t="s">
        <v>48</v>
      </c>
      <c r="F18" s="6" t="s">
        <v>98</v>
      </c>
      <c r="G18" s="2" t="s">
        <v>56</v>
      </c>
      <c r="H18" s="6"/>
    </row>
    <row r="19" spans="1:8" ht="36" customHeight="1" x14ac:dyDescent="0.35">
      <c r="A19" s="5" t="s">
        <v>80</v>
      </c>
      <c r="B19" s="6" t="s">
        <v>99</v>
      </c>
      <c r="C19" s="8">
        <v>6.9999999999999993E-3</v>
      </c>
      <c r="D19" s="6" t="s">
        <v>100</v>
      </c>
      <c r="E19" s="6" t="s">
        <v>48</v>
      </c>
      <c r="F19" s="6" t="s">
        <v>59</v>
      </c>
      <c r="G19" s="2" t="s">
        <v>101</v>
      </c>
      <c r="H19" s="6"/>
    </row>
    <row r="20" spans="1:8" ht="36" customHeight="1" x14ac:dyDescent="0.35">
      <c r="A20" s="5" t="s">
        <v>102</v>
      </c>
      <c r="B20" s="6" t="s">
        <v>103</v>
      </c>
      <c r="C20" s="8">
        <v>0</v>
      </c>
      <c r="D20" s="6" t="s">
        <v>104</v>
      </c>
      <c r="E20" s="6" t="s">
        <v>105</v>
      </c>
      <c r="F20" s="6" t="s">
        <v>106</v>
      </c>
      <c r="G20" s="2" t="s">
        <v>107</v>
      </c>
      <c r="H20" s="6"/>
    </row>
    <row r="21" spans="1:8" ht="26" customHeight="1" x14ac:dyDescent="0.35">
      <c r="A21" s="11"/>
      <c r="B21" s="12" t="s">
        <v>108</v>
      </c>
      <c r="C21" s="13">
        <f>SUM(C5:C20)</f>
        <v>0.80500000000000027</v>
      </c>
      <c r="D21" s="11"/>
      <c r="E21" s="11"/>
      <c r="F21" s="11"/>
      <c r="G21" s="11"/>
      <c r="H21" s="11"/>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topLeftCell="A6" workbookViewId="0">
      <selection activeCell="E5" sqref="E5:E9"/>
    </sheetView>
  </sheetViews>
  <sheetFormatPr defaultRowHeight="14.5" x14ac:dyDescent="0.35"/>
  <cols>
    <col min="1" max="1" width="25" customWidth="1"/>
    <col min="2" max="2" width="30" customWidth="1"/>
    <col min="3" max="3" width="32" customWidth="1"/>
    <col min="4" max="4" width="38" customWidth="1"/>
    <col min="5" max="5" width="25" style="26" customWidth="1"/>
    <col min="6" max="6" width="25" customWidth="1"/>
  </cols>
  <sheetData>
    <row r="1" spans="1:6" ht="28" customHeight="1" x14ac:dyDescent="0.35">
      <c r="A1" s="23" t="s">
        <v>160</v>
      </c>
      <c r="B1" s="21"/>
      <c r="C1" s="21"/>
      <c r="D1" s="21"/>
      <c r="E1" s="21"/>
      <c r="F1" s="21"/>
    </row>
    <row r="2" spans="1:6" ht="20" customHeight="1" x14ac:dyDescent="0.35">
      <c r="A2" s="20" t="s">
        <v>161</v>
      </c>
      <c r="B2" s="21"/>
      <c r="C2" s="21"/>
      <c r="D2" s="21"/>
      <c r="E2" s="21"/>
      <c r="F2" s="21"/>
    </row>
    <row r="4" spans="1:6" ht="28" customHeight="1" x14ac:dyDescent="0.35">
      <c r="A4" s="1" t="s">
        <v>162</v>
      </c>
      <c r="B4" s="1" t="s">
        <v>163</v>
      </c>
      <c r="C4" s="1" t="s">
        <v>164</v>
      </c>
      <c r="D4" s="1" t="s">
        <v>165</v>
      </c>
      <c r="E4" s="1" t="s">
        <v>166</v>
      </c>
      <c r="F4" s="1" t="s">
        <v>9</v>
      </c>
    </row>
    <row r="5" spans="1:6" ht="137" customHeight="1" x14ac:dyDescent="0.35">
      <c r="A5" s="16" t="s">
        <v>167</v>
      </c>
      <c r="B5" s="3" t="s">
        <v>168</v>
      </c>
      <c r="C5" s="3" t="s">
        <v>169</v>
      </c>
      <c r="D5" s="3" t="s">
        <v>170</v>
      </c>
      <c r="E5" s="2" t="s">
        <v>187</v>
      </c>
      <c r="F5" s="3"/>
    </row>
    <row r="6" spans="1:6" ht="105" customHeight="1" x14ac:dyDescent="0.35">
      <c r="A6" s="17" t="s">
        <v>171</v>
      </c>
      <c r="B6" s="6" t="s">
        <v>172</v>
      </c>
      <c r="C6" s="6" t="s">
        <v>173</v>
      </c>
      <c r="D6" s="6" t="s">
        <v>174</v>
      </c>
      <c r="E6" s="5" t="s">
        <v>187</v>
      </c>
      <c r="F6" s="6"/>
    </row>
    <row r="7" spans="1:6" ht="105" customHeight="1" x14ac:dyDescent="0.35">
      <c r="A7" s="16" t="s">
        <v>175</v>
      </c>
      <c r="B7" s="3" t="s">
        <v>176</v>
      </c>
      <c r="C7" s="3" t="s">
        <v>177</v>
      </c>
      <c r="D7" s="3" t="s">
        <v>178</v>
      </c>
      <c r="E7" s="2" t="s">
        <v>187</v>
      </c>
      <c r="F7" s="3"/>
    </row>
    <row r="8" spans="1:6" ht="105" customHeight="1" x14ac:dyDescent="0.35">
      <c r="A8" s="17" t="s">
        <v>179</v>
      </c>
      <c r="B8" s="6" t="s">
        <v>180</v>
      </c>
      <c r="C8" s="6" t="s">
        <v>181</v>
      </c>
      <c r="D8" s="6" t="s">
        <v>182</v>
      </c>
      <c r="E8" s="5" t="s">
        <v>187</v>
      </c>
      <c r="F8" s="6"/>
    </row>
    <row r="9" spans="1:6" ht="105" customHeight="1" x14ac:dyDescent="0.35">
      <c r="A9" s="16" t="s">
        <v>183</v>
      </c>
      <c r="B9" s="3" t="s">
        <v>184</v>
      </c>
      <c r="C9" s="3" t="s">
        <v>185</v>
      </c>
      <c r="D9" s="3" t="s">
        <v>186</v>
      </c>
      <c r="E9" s="2" t="s">
        <v>187</v>
      </c>
      <c r="F9" s="3"/>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E10" sqref="E10"/>
    </sheetView>
  </sheetViews>
  <sheetFormatPr defaultRowHeight="14.5" x14ac:dyDescent="0.35"/>
  <cols>
    <col min="1" max="1" width="6" customWidth="1"/>
    <col min="2" max="4" width="28" customWidth="1"/>
    <col min="5" max="5" width="14" customWidth="1"/>
    <col min="6" max="6" width="38" customWidth="1"/>
    <col min="7" max="7" width="28" customWidth="1"/>
    <col min="8" max="8" width="25" customWidth="1"/>
  </cols>
  <sheetData>
    <row r="1" spans="1:8" ht="28" customHeight="1" x14ac:dyDescent="0.35">
      <c r="A1" s="23" t="s">
        <v>188</v>
      </c>
      <c r="B1" s="21"/>
      <c r="C1" s="21"/>
      <c r="D1" s="21"/>
      <c r="E1" s="21"/>
      <c r="F1" s="21"/>
      <c r="G1" s="21"/>
      <c r="H1" s="21"/>
    </row>
    <row r="2" spans="1:8" ht="20" customHeight="1" x14ac:dyDescent="0.35">
      <c r="A2" s="24" t="s">
        <v>189</v>
      </c>
      <c r="B2" s="25"/>
      <c r="C2" s="25"/>
      <c r="D2" s="25"/>
      <c r="E2" s="25"/>
      <c r="F2" s="25"/>
      <c r="G2" s="25"/>
      <c r="H2" s="25"/>
    </row>
    <row r="4" spans="1:8" ht="28" customHeight="1" x14ac:dyDescent="0.35">
      <c r="A4" s="1" t="s">
        <v>2</v>
      </c>
      <c r="B4" s="1" t="s">
        <v>190</v>
      </c>
      <c r="C4" s="1" t="s">
        <v>191</v>
      </c>
      <c r="D4" s="1" t="s">
        <v>192</v>
      </c>
      <c r="E4" s="1" t="s">
        <v>193</v>
      </c>
      <c r="F4" s="1" t="s">
        <v>194</v>
      </c>
      <c r="G4" s="1" t="s">
        <v>195</v>
      </c>
      <c r="H4" s="1" t="s">
        <v>9</v>
      </c>
    </row>
    <row r="5" spans="1:8" ht="84.5" customHeight="1" x14ac:dyDescent="0.35">
      <c r="A5" s="2">
        <v>1</v>
      </c>
      <c r="B5" s="3" t="s">
        <v>196</v>
      </c>
      <c r="C5" s="3" t="s">
        <v>197</v>
      </c>
      <c r="D5" s="3" t="s">
        <v>198</v>
      </c>
      <c r="E5" s="18" t="s">
        <v>199</v>
      </c>
      <c r="F5" s="3" t="s">
        <v>200</v>
      </c>
      <c r="G5" s="3" t="s">
        <v>201</v>
      </c>
      <c r="H5" s="3"/>
    </row>
    <row r="6" spans="1:8" ht="84.5" customHeight="1" x14ac:dyDescent="0.35">
      <c r="A6" s="5">
        <v>2</v>
      </c>
      <c r="B6" s="6" t="s">
        <v>202</v>
      </c>
      <c r="C6" s="6" t="s">
        <v>203</v>
      </c>
      <c r="D6" s="6" t="s">
        <v>204</v>
      </c>
      <c r="E6" s="19" t="s">
        <v>205</v>
      </c>
      <c r="F6" s="6" t="s">
        <v>206</v>
      </c>
      <c r="G6" s="6" t="s">
        <v>207</v>
      </c>
      <c r="H6" s="6"/>
    </row>
    <row r="7" spans="1:8" ht="84.5" customHeight="1" x14ac:dyDescent="0.35">
      <c r="A7" s="2">
        <v>3</v>
      </c>
      <c r="B7" s="3" t="s">
        <v>51</v>
      </c>
      <c r="C7" s="3" t="s">
        <v>208</v>
      </c>
      <c r="D7" s="3" t="s">
        <v>209</v>
      </c>
      <c r="E7" s="18" t="s">
        <v>210</v>
      </c>
      <c r="F7" s="3" t="s">
        <v>211</v>
      </c>
      <c r="G7" s="3" t="s">
        <v>212</v>
      </c>
      <c r="H7" s="3"/>
    </row>
    <row r="8" spans="1:8" ht="84.5" customHeight="1" x14ac:dyDescent="0.35">
      <c r="A8" s="5">
        <v>4</v>
      </c>
      <c r="B8" s="6" t="s">
        <v>213</v>
      </c>
      <c r="C8" s="6" t="s">
        <v>214</v>
      </c>
      <c r="D8" s="6" t="s">
        <v>215</v>
      </c>
      <c r="E8" s="19" t="s">
        <v>216</v>
      </c>
      <c r="F8" s="6" t="s">
        <v>217</v>
      </c>
      <c r="G8" s="6" t="s">
        <v>218</v>
      </c>
      <c r="H8" s="6"/>
    </row>
    <row r="9" spans="1:8" ht="84.5" customHeight="1" x14ac:dyDescent="0.35">
      <c r="A9" s="2">
        <v>5</v>
      </c>
      <c r="B9" s="3" t="s">
        <v>76</v>
      </c>
      <c r="C9" s="3" t="s">
        <v>219</v>
      </c>
      <c r="D9" s="3" t="s">
        <v>220</v>
      </c>
      <c r="E9" s="18" t="s">
        <v>221</v>
      </c>
      <c r="F9" s="3" t="s">
        <v>222</v>
      </c>
      <c r="G9" s="3" t="s">
        <v>223</v>
      </c>
      <c r="H9" s="3"/>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tabSelected="1" workbookViewId="0">
      <selection activeCell="B16" sqref="B16"/>
    </sheetView>
  </sheetViews>
  <sheetFormatPr defaultRowHeight="14.5" x14ac:dyDescent="0.35"/>
  <cols>
    <col min="1" max="1" width="8" customWidth="1"/>
    <col min="2" max="2" width="38" customWidth="1"/>
    <col min="3" max="3" width="14" customWidth="1"/>
    <col min="4" max="4" width="16" customWidth="1"/>
    <col min="5" max="5" width="38" customWidth="1"/>
    <col min="6" max="6" width="25" customWidth="1"/>
    <col min="7" max="7" width="22" customWidth="1"/>
    <col min="8" max="8" width="18" customWidth="1"/>
    <col min="9" max="9" width="25" customWidth="1"/>
  </cols>
  <sheetData>
    <row r="1" spans="1:9" ht="28" customHeight="1" x14ac:dyDescent="0.35">
      <c r="A1" s="23" t="s">
        <v>109</v>
      </c>
      <c r="B1" s="21"/>
      <c r="C1" s="21"/>
      <c r="D1" s="21"/>
      <c r="E1" s="21"/>
      <c r="F1" s="21"/>
      <c r="G1" s="21"/>
      <c r="H1" s="21"/>
      <c r="I1" s="21"/>
    </row>
    <row r="2" spans="1:9" ht="20" customHeight="1" x14ac:dyDescent="0.35">
      <c r="A2" s="24" t="s">
        <v>110</v>
      </c>
      <c r="B2" s="25"/>
      <c r="C2" s="25"/>
      <c r="D2" s="25"/>
      <c r="E2" s="25"/>
      <c r="F2" s="25"/>
      <c r="G2" s="25"/>
      <c r="H2" s="25"/>
      <c r="I2" s="25"/>
    </row>
    <row r="4" spans="1:9" ht="28" customHeight="1" x14ac:dyDescent="0.35">
      <c r="A4" s="1" t="s">
        <v>37</v>
      </c>
      <c r="B4" s="1" t="s">
        <v>111</v>
      </c>
      <c r="C4" s="1" t="s">
        <v>39</v>
      </c>
      <c r="D4" s="1" t="s">
        <v>40</v>
      </c>
      <c r="E4" s="1" t="s">
        <v>112</v>
      </c>
      <c r="F4" s="1" t="s">
        <v>113</v>
      </c>
      <c r="G4" s="1" t="s">
        <v>114</v>
      </c>
      <c r="H4" s="1" t="s">
        <v>115</v>
      </c>
      <c r="I4" s="1" t="s">
        <v>9</v>
      </c>
    </row>
    <row r="5" spans="1:9" ht="37" customHeight="1" x14ac:dyDescent="0.35">
      <c r="A5" s="5" t="s">
        <v>45</v>
      </c>
      <c r="B5" s="6" t="s">
        <v>46</v>
      </c>
      <c r="C5" s="8">
        <v>0.38</v>
      </c>
      <c r="D5" s="9">
        <f t="shared" ref="D5:D18" si="0">C5*100</f>
        <v>38</v>
      </c>
      <c r="E5" s="6" t="s">
        <v>47</v>
      </c>
      <c r="F5" s="6" t="s">
        <v>116</v>
      </c>
      <c r="G5" s="6" t="s">
        <v>49</v>
      </c>
      <c r="H5" s="2" t="s">
        <v>117</v>
      </c>
      <c r="I5" s="6"/>
    </row>
    <row r="6" spans="1:9" ht="37" customHeight="1" x14ac:dyDescent="0.35">
      <c r="A6" s="5" t="s">
        <v>45</v>
      </c>
      <c r="B6" s="6" t="s">
        <v>118</v>
      </c>
      <c r="C6" s="8">
        <v>0.15</v>
      </c>
      <c r="D6" s="9">
        <f t="shared" si="0"/>
        <v>15</v>
      </c>
      <c r="E6" s="6" t="s">
        <v>119</v>
      </c>
      <c r="F6" s="6" t="s">
        <v>120</v>
      </c>
      <c r="G6" s="6" t="s">
        <v>49</v>
      </c>
      <c r="H6" s="2" t="s">
        <v>121</v>
      </c>
      <c r="I6" s="6"/>
    </row>
    <row r="7" spans="1:9" ht="37" customHeight="1" x14ac:dyDescent="0.35">
      <c r="A7" s="5" t="s">
        <v>45</v>
      </c>
      <c r="B7" s="6" t="s">
        <v>53</v>
      </c>
      <c r="C7" s="8">
        <v>0.05</v>
      </c>
      <c r="D7" s="9">
        <f t="shared" si="0"/>
        <v>5</v>
      </c>
      <c r="E7" s="6" t="s">
        <v>122</v>
      </c>
      <c r="F7" s="6" t="s">
        <v>123</v>
      </c>
      <c r="G7" s="6" t="s">
        <v>55</v>
      </c>
      <c r="H7" s="2" t="s">
        <v>124</v>
      </c>
      <c r="I7" s="6"/>
    </row>
    <row r="8" spans="1:9" ht="37" customHeight="1" x14ac:dyDescent="0.35">
      <c r="A8" s="5" t="s">
        <v>45</v>
      </c>
      <c r="B8" s="6" t="s">
        <v>125</v>
      </c>
      <c r="C8" s="8">
        <v>0.08</v>
      </c>
      <c r="D8" s="9">
        <f t="shared" si="0"/>
        <v>8</v>
      </c>
      <c r="E8" s="6" t="s">
        <v>126</v>
      </c>
      <c r="F8" s="6" t="s">
        <v>123</v>
      </c>
      <c r="G8" s="6" t="s">
        <v>59</v>
      </c>
      <c r="H8" s="2" t="s">
        <v>124</v>
      </c>
      <c r="I8" s="6"/>
    </row>
    <row r="9" spans="1:9" ht="37" customHeight="1" x14ac:dyDescent="0.35">
      <c r="A9" s="5" t="s">
        <v>45</v>
      </c>
      <c r="B9" s="6" t="s">
        <v>127</v>
      </c>
      <c r="C9" s="8">
        <v>0.02</v>
      </c>
      <c r="D9" s="9">
        <f t="shared" si="0"/>
        <v>2</v>
      </c>
      <c r="E9" s="6" t="s">
        <v>128</v>
      </c>
      <c r="F9" s="6" t="s">
        <v>129</v>
      </c>
      <c r="G9" s="6" t="s">
        <v>130</v>
      </c>
      <c r="H9" s="15" t="s">
        <v>131</v>
      </c>
      <c r="I9" s="6"/>
    </row>
    <row r="10" spans="1:9" ht="37" customHeight="1" x14ac:dyDescent="0.35">
      <c r="A10" s="5" t="s">
        <v>67</v>
      </c>
      <c r="B10" s="6" t="s">
        <v>132</v>
      </c>
      <c r="C10" s="8">
        <v>0.02</v>
      </c>
      <c r="D10" s="9">
        <f t="shared" si="0"/>
        <v>2</v>
      </c>
      <c r="E10" s="6" t="s">
        <v>133</v>
      </c>
      <c r="F10" s="6" t="s">
        <v>134</v>
      </c>
      <c r="G10" s="6" t="s">
        <v>135</v>
      </c>
      <c r="H10" s="15" t="s">
        <v>136</v>
      </c>
      <c r="I10" s="6"/>
    </row>
    <row r="11" spans="1:9" ht="37" customHeight="1" x14ac:dyDescent="0.35">
      <c r="A11" s="5" t="s">
        <v>67</v>
      </c>
      <c r="B11" s="6" t="s">
        <v>137</v>
      </c>
      <c r="C11" s="8">
        <v>1.4999999999999999E-2</v>
      </c>
      <c r="D11" s="9">
        <f t="shared" si="0"/>
        <v>1.5</v>
      </c>
      <c r="E11" s="6" t="s">
        <v>138</v>
      </c>
      <c r="F11" s="6" t="s">
        <v>139</v>
      </c>
      <c r="G11" s="6" t="s">
        <v>140</v>
      </c>
      <c r="H11" s="15" t="s">
        <v>141</v>
      </c>
      <c r="I11" s="6"/>
    </row>
    <row r="12" spans="1:9" ht="37" customHeight="1" x14ac:dyDescent="0.35">
      <c r="A12" s="5" t="s">
        <v>80</v>
      </c>
      <c r="B12" s="6" t="s">
        <v>142</v>
      </c>
      <c r="C12" s="8">
        <v>0.01</v>
      </c>
      <c r="D12" s="9">
        <f t="shared" si="0"/>
        <v>1</v>
      </c>
      <c r="E12" s="6" t="s">
        <v>143</v>
      </c>
      <c r="F12" s="6" t="s">
        <v>144</v>
      </c>
      <c r="G12" s="6" t="s">
        <v>145</v>
      </c>
      <c r="H12" s="2" t="s">
        <v>146</v>
      </c>
      <c r="I12" s="6"/>
    </row>
    <row r="13" spans="1:9" ht="37" customHeight="1" x14ac:dyDescent="0.35">
      <c r="A13" s="5" t="s">
        <v>80</v>
      </c>
      <c r="B13" s="6" t="s">
        <v>147</v>
      </c>
      <c r="C13" s="8">
        <v>5.0000000000000001E-3</v>
      </c>
      <c r="D13" s="9">
        <f t="shared" si="0"/>
        <v>0.5</v>
      </c>
      <c r="E13" s="6" t="s">
        <v>148</v>
      </c>
      <c r="F13" s="6" t="s">
        <v>149</v>
      </c>
      <c r="G13" s="6" t="s">
        <v>150</v>
      </c>
      <c r="H13" s="2" t="s">
        <v>124</v>
      </c>
      <c r="I13" s="6"/>
    </row>
    <row r="14" spans="1:9" ht="37" customHeight="1" x14ac:dyDescent="0.35">
      <c r="A14" s="5" t="s">
        <v>80</v>
      </c>
      <c r="B14" s="6" t="s">
        <v>151</v>
      </c>
      <c r="C14" s="8">
        <v>0.01</v>
      </c>
      <c r="D14" s="9">
        <f t="shared" si="0"/>
        <v>1</v>
      </c>
      <c r="E14" s="6" t="s">
        <v>152</v>
      </c>
      <c r="F14" s="6" t="s">
        <v>123</v>
      </c>
      <c r="G14" s="6" t="s">
        <v>88</v>
      </c>
      <c r="H14" s="2" t="s">
        <v>124</v>
      </c>
      <c r="I14" s="6"/>
    </row>
    <row r="15" spans="1:9" ht="37" customHeight="1" x14ac:dyDescent="0.35">
      <c r="A15" s="5" t="s">
        <v>80</v>
      </c>
      <c r="B15" s="6" t="s">
        <v>153</v>
      </c>
      <c r="C15" s="8">
        <v>8.0000000000000002E-3</v>
      </c>
      <c r="D15" s="9">
        <f t="shared" si="0"/>
        <v>0.8</v>
      </c>
      <c r="E15" s="6" t="s">
        <v>154</v>
      </c>
      <c r="F15" s="6" t="s">
        <v>123</v>
      </c>
      <c r="G15" s="6" t="s">
        <v>84</v>
      </c>
      <c r="H15" s="2" t="s">
        <v>124</v>
      </c>
      <c r="I15" s="6"/>
    </row>
    <row r="16" spans="1:9" ht="37" customHeight="1" x14ac:dyDescent="0.35">
      <c r="A16" s="5" t="s">
        <v>80</v>
      </c>
      <c r="B16" s="6" t="s">
        <v>155</v>
      </c>
      <c r="C16" s="8">
        <v>5.0000000000000001E-3</v>
      </c>
      <c r="D16" s="9">
        <f t="shared" si="0"/>
        <v>0.5</v>
      </c>
      <c r="E16" s="6" t="s">
        <v>156</v>
      </c>
      <c r="F16" s="6" t="s">
        <v>157</v>
      </c>
      <c r="G16" s="6" t="s">
        <v>84</v>
      </c>
      <c r="H16" s="2" t="s">
        <v>124</v>
      </c>
      <c r="I16" s="6"/>
    </row>
    <row r="17" spans="1:9" ht="37" customHeight="1" x14ac:dyDescent="0.35">
      <c r="A17" s="5" t="s">
        <v>80</v>
      </c>
      <c r="B17" s="6" t="s">
        <v>158</v>
      </c>
      <c r="C17" s="8">
        <v>6.9999999999999993E-3</v>
      </c>
      <c r="D17" s="9">
        <f t="shared" si="0"/>
        <v>0.7</v>
      </c>
      <c r="E17" s="6" t="s">
        <v>159</v>
      </c>
      <c r="F17" s="6" t="s">
        <v>123</v>
      </c>
      <c r="G17" s="6" t="s">
        <v>59</v>
      </c>
      <c r="H17" s="2" t="s">
        <v>124</v>
      </c>
      <c r="I17" s="6"/>
    </row>
    <row r="18" spans="1:9" ht="37" customHeight="1" x14ac:dyDescent="0.35">
      <c r="A18" s="5" t="s">
        <v>102</v>
      </c>
      <c r="B18" s="6" t="s">
        <v>103</v>
      </c>
      <c r="C18" s="8">
        <v>0</v>
      </c>
      <c r="D18" s="9">
        <f t="shared" si="0"/>
        <v>0</v>
      </c>
      <c r="E18" s="6" t="s">
        <v>104</v>
      </c>
      <c r="F18" s="6" t="s">
        <v>105</v>
      </c>
      <c r="G18" s="6" t="s">
        <v>106</v>
      </c>
      <c r="H18" s="2" t="s">
        <v>117</v>
      </c>
      <c r="I18" s="6"/>
    </row>
    <row r="19" spans="1:9" ht="37" customHeight="1" x14ac:dyDescent="0.35">
      <c r="A19" s="11"/>
      <c r="B19" s="12" t="s">
        <v>108</v>
      </c>
      <c r="C19" s="13">
        <f>SUM(C5:C18)</f>
        <v>0.76000000000000012</v>
      </c>
      <c r="D19" s="14">
        <f>SUM(D5:D18)</f>
        <v>76</v>
      </c>
      <c r="E19" s="11"/>
      <c r="F19" s="11"/>
      <c r="G19" s="11"/>
      <c r="H19" s="11"/>
      <c r="I19" s="11"/>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So Sánh Tổng Quan</vt:lpstr>
      <vt:lpstr>2. Công Thức Đề Xuất (BM Gốc)</vt:lpstr>
      <vt:lpstr>3. So Sánh CT &amp; ĐGKT</vt:lpstr>
      <vt:lpstr>4. Nguyên Liệu Thay Thế VN</vt:lpstr>
      <vt:lpstr>5. Công Thức NL Thay Thế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Ánh Trương</cp:lastModifiedBy>
  <dcterms:created xsi:type="dcterms:W3CDTF">2026-08-28T10:50:34Z</dcterms:created>
  <dcterms:modified xsi:type="dcterms:W3CDTF">2026-08-28T10:56:20Z</dcterms:modified>
</cp:coreProperties>
</file>