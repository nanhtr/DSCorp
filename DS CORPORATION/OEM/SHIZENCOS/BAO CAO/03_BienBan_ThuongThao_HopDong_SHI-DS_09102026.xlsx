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n ban thuong thao" sheetId="1" state="visible" r:id="rId1"/>
    <sheet xmlns:r="http://schemas.openxmlformats.org/officeDocument/2006/relationships" name="Yeu cau ky thuat" sheetId="2" state="visible" r:id="rId2"/>
    <sheet xmlns:r="http://schemas.openxmlformats.org/officeDocument/2006/relationships" name="Tong hop" sheetId="3" state="visible" r:id="rId3"/>
  </sheets>
  <definedNames>
    <definedName name="_xlnm.Print_Titles" localSheetId="0">'Bien ban thuong thao'!$14:$14</definedName>
  </definedNames>
  <calcPr calcId="124519" fullCalcOnLoad="1"/>
</workbook>
</file>

<file path=xl/styles.xml><?xml version="1.0" encoding="utf-8"?>
<styleSheet xmlns="http://schemas.openxmlformats.org/spreadsheetml/2006/main">
  <numFmts count="0"/>
  <fonts count="13">
    <font>
      <name val="Public Sans"/>
      <sz val="10"/>
    </font>
    <font>
      <name val="Public Sans"/>
      <b val="1"/>
      <color rgb="003A242B"/>
      <sz val="10"/>
    </font>
    <font>
      <name val="Public Sans"/>
      <b val="1"/>
      <color rgb="003A242B"/>
      <sz val="16"/>
    </font>
    <font>
      <name val="Public Sans"/>
      <b val="1"/>
      <color rgb="007D636B"/>
      <sz val="11"/>
    </font>
    <font>
      <name val="Public Sans"/>
      <color rgb="003A242B"/>
      <sz val="10"/>
    </font>
    <font>
      <name val="Public Sans"/>
      <b val="1"/>
      <color rgb="00FFFFFF"/>
      <sz val="10"/>
    </font>
    <font>
      <name val="Public Sans"/>
      <color rgb="007D636B"/>
      <sz val="10"/>
    </font>
    <font>
      <name val="Public Sans"/>
      <b val="1"/>
      <color rgb="00C15C81"/>
      <sz val="11"/>
    </font>
    <font>
      <name val="Public Sans"/>
      <b val="1"/>
      <color rgb="003A242B"/>
      <sz val="11"/>
    </font>
    <font>
      <name val="Public Sans"/>
      <i val="1"/>
      <color rgb="007D636B"/>
      <sz val="10"/>
    </font>
    <font>
      <name val="Public Sans"/>
      <b val="1"/>
      <color rgb="003A242B"/>
      <sz val="14"/>
    </font>
    <font>
      <name val="Public Sans"/>
      <b val="1"/>
      <color rgb="00C15C81"/>
      <sz val="10"/>
    </font>
    <font>
      <name val="Public Sans"/>
      <b val="1"/>
      <color rgb="00C15C81"/>
      <sz val="12"/>
    </font>
  </fonts>
  <fills count="4">
    <fill>
      <patternFill/>
    </fill>
    <fill>
      <patternFill patternType="gray125"/>
    </fill>
    <fill>
      <patternFill patternType="solid">
        <fgColor rgb="00FFF5F9"/>
      </patternFill>
    </fill>
    <fill>
      <patternFill patternType="solid">
        <fgColor rgb="003A242B"/>
      </patternFill>
    </fill>
  </fills>
  <borders count="6">
    <border>
      <left/>
      <right/>
      <top/>
      <bottom/>
      <diagonal/>
    </border>
    <border>
      <left style="thin">
        <color rgb="00E8BACB"/>
      </left>
      <right style="thin">
        <color rgb="00E8BACB"/>
      </right>
      <top style="thin">
        <color rgb="00E8BACB"/>
      </top>
      <bottom style="thin">
        <color rgb="00E8BACB"/>
      </bottom>
    </border>
    <border>
      <left/>
      <right/>
      <top style="thin">
        <color rgb="00E8BACB"/>
      </top>
      <bottom/>
      <diagonal/>
    </border>
    <border>
      <left/>
      <right style="thin">
        <color rgb="00E8BACB"/>
      </right>
      <top style="thin">
        <color rgb="00E8BACB"/>
      </top>
      <bottom/>
      <diagonal/>
    </border>
    <border>
      <left/>
      <right style="thin">
        <color rgb="00E8BACB"/>
      </right>
      <top style="thin">
        <color rgb="00E8BACB"/>
      </top>
      <bottom style="thin">
        <color rgb="00E8BACB"/>
      </bottom>
      <diagonal/>
    </border>
    <border>
      <left/>
      <right/>
      <top style="thin">
        <color rgb="00E8BACB"/>
      </top>
      <bottom style="thin">
        <color rgb="00E8BACB"/>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1" fillId="0" borderId="0" applyAlignment="1" pivotButton="0" quotePrefix="0" xfId="0">
      <alignment horizontal="right"/>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1"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4" fillId="2" borderId="1" applyAlignment="1" pivotButton="0" quotePrefix="0" xfId="0">
      <alignment vertical="top" wrapText="1"/>
    </xf>
    <xf numFmtId="0" fontId="4" fillId="2" borderId="1" applyAlignment="1" pivotButton="0" quotePrefix="0" xfId="0">
      <alignment horizontal="center" vertical="center" wrapText="1"/>
    </xf>
    <xf numFmtId="0" fontId="7" fillId="0" borderId="0" pivotButton="0" quotePrefix="0" xfId="0"/>
    <xf numFmtId="0" fontId="4" fillId="0" borderId="0" pivotButton="0" quotePrefix="0" xfId="0"/>
    <xf numFmtId="0" fontId="8" fillId="0" borderId="0" applyAlignment="1" pivotButton="0" quotePrefix="0" xfId="0">
      <alignment horizontal="center"/>
    </xf>
    <xf numFmtId="0" fontId="9" fillId="0" borderId="0" applyAlignment="1" pivotButton="0" quotePrefix="0" xfId="0">
      <alignment horizontal="center"/>
    </xf>
    <xf numFmtId="0" fontId="10" fillId="0" borderId="0" applyAlignment="1" pivotButton="0" quotePrefix="0" xfId="0">
      <alignment horizontal="center" vertical="center" wrapText="1"/>
    </xf>
    <xf numFmtId="0" fontId="9" fillId="0" borderId="0" applyAlignment="1" pivotButton="0" quotePrefix="0" xfId="0">
      <alignment vertical="top" wrapText="1"/>
    </xf>
    <xf numFmtId="0" fontId="11"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0" borderId="1" applyAlignment="1" pivotButton="0" quotePrefix="0" xfId="0">
      <alignment horizontal="center" vertical="center" wrapText="1"/>
    </xf>
    <xf numFmtId="0" fontId="1" fillId="2" borderId="1" applyAlignment="1" pivotButton="0" quotePrefix="0" xfId="0">
      <alignment vertical="top" wrapText="1"/>
    </xf>
    <xf numFmtId="0" fontId="1" fillId="2" borderId="1" applyAlignment="1" pivotButton="0" quotePrefix="0" xfId="0">
      <alignment horizontal="center" vertical="center" wrapText="1"/>
    </xf>
    <xf numFmtId="9" fontId="12" fillId="0" borderId="0" pivotButton="0" quotePrefix="0" xfId="0"/>
    <xf numFmtId="0" fontId="12" fillId="0" borderId="0" pivotButton="0" quotePrefix="0" xfId="0"/>
  </cellXfs>
  <cellStyles count="1">
    <cellStyle name="Normal" xfId="0" builtinId="0" hidden="0"/>
  </cellStyles>
  <dxfs count="3">
    <dxf>
      <fill>
        <patternFill patternType="solid">
          <fgColor rgb="00E3F1E6"/>
        </patternFill>
      </fill>
    </dxf>
    <dxf>
      <fill>
        <patternFill patternType="solid">
          <fgColor rgb="00E8BACB"/>
        </patternFill>
      </fill>
    </dxf>
    <dxf>
      <fill>
        <patternFill patternType="solid">
          <fgColor rgb="00C15C8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15C81"/>
    <outlinePr summaryBelow="1" summaryRight="1"/>
    <pageSetUpPr fitToPage="1"/>
  </sheetPr>
  <dimension ref="A1:J64"/>
  <sheetViews>
    <sheetView workbookViewId="0">
      <pane xSplit="2" ySplit="14" topLeftCell="C15"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45" customWidth="1" min="3" max="3"/>
    <col width="34" customWidth="1" min="4" max="4"/>
    <col width="24" customWidth="1" min="5" max="5"/>
    <col width="55" customWidth="1" min="6" max="6"/>
    <col width="11" customWidth="1" min="7" max="7"/>
    <col width="28" customWidth="1" min="8" max="8"/>
    <col width="16" customWidth="1" min="9" max="9"/>
    <col width="30" customWidth="1" min="10" max="10"/>
  </cols>
  <sheetData>
    <row r="1">
      <c r="A1" s="1" t="inlineStr">
        <is>
          <t>CÔNG TY TNHH DS CORPORATION</t>
        </is>
      </c>
      <c r="F1" s="2" t="inlineStr">
        <is>
          <t>CỘNG HÒA XÃ HỘI CHỦ NGHĨA VIỆT NAM – Độc lập – Tự do – Hạnh phúc</t>
        </is>
      </c>
    </row>
    <row r="3" ht="30.4" customHeight="1">
      <c r="A3" s="3" t="inlineStr">
        <is>
          <t>BIÊN BẢN THƯƠNG THẢO HỢP ĐỒNG</t>
        </is>
      </c>
    </row>
    <row r="4" ht="20.9" customHeight="1">
      <c r="A4" s="4" t="inlineStr">
        <is>
          <t>Dự thảo số 05/10/2026-HĐMB/SHI-DS CORPORATION/TC-1 – Sản phẩm Pre-Shampoo Scalp Oil-Serum 50 ml (LOT 26I261)</t>
        </is>
      </c>
    </row>
    <row r="6" ht="18" customHeight="1">
      <c r="A6" s="1" t="inlineStr">
        <is>
          <t>Số</t>
        </is>
      </c>
      <c r="B6" s="5" t="inlineStr">
        <is>
          <t>01/2026/BBTT/SHI-DS</t>
        </is>
      </c>
    </row>
    <row r="7" ht="18" customHeight="1">
      <c r="A7" s="1" t="inlineStr">
        <is>
          <t>Thời gian</t>
        </is>
      </c>
      <c r="B7" s="6" t="inlineStr">
        <is>
          <t>…… giờ ……, ngày …… /10/2026</t>
        </is>
      </c>
    </row>
    <row r="8" ht="18" customHeight="1">
      <c r="A8" s="1" t="inlineStr">
        <is>
          <t>Địa điểm / hình thức</t>
        </is>
      </c>
      <c r="B8" s="6" t="inlineStr">
        <is>
          <t>……………………………… (trực tiếp / trực tuyến)</t>
        </is>
      </c>
    </row>
    <row r="9" ht="18" customHeight="1">
      <c r="A9" s="1" t="inlineStr">
        <is>
          <t>Bên A (bên nhận gia công)</t>
        </is>
      </c>
      <c r="B9" s="6" t="inlineStr">
        <is>
          <t>CÔNG TY TNHH HÓA DƯỢC SHIZENCOS – Đại diện: Bà Nguyễn Thị Tuyết Vân – Tổng Giám đốc; thành viên: ………………</t>
        </is>
      </c>
    </row>
    <row r="10" ht="18" customHeight="1">
      <c r="A10" s="1" t="inlineStr">
        <is>
          <t>Bên B (bên đặt gia công)</t>
        </is>
      </c>
      <c r="B10" s="6" t="inlineStr">
        <is>
          <t>CÔNG TY TNHH DS CORPORATION – Đại diện: Bà Trương Ngọc Ánh – Tổng Giám đốc; thành viên: ………………</t>
        </is>
      </c>
    </row>
    <row r="11" ht="32" customHeight="1">
      <c r="A11" s="1" t="inlineStr">
        <is>
          <t>Nội dung</t>
        </is>
      </c>
      <c r="B11" s="5" t="inlineStr">
        <is>
          <t>Hai Bên rà soát từng điều khoản của dự thảo hợp đồng do Bên A gửi ngày 05/10/2026. Đề xuất sửa đổi của Bên B được thể hiện tại cột F và đồng thời bằng chế độ theo dõi thay đổi (Track Changes) trên chính file dự thảo hợp đồng gửi kèm. Kết quả thống nhất ghi tại cột I, J.</t>
        </is>
      </c>
    </row>
    <row r="12" ht="32" customHeight="1">
      <c r="A12" s="1" t="inlineStr">
        <is>
          <t>Quy ước</t>
        </is>
      </c>
      <c r="B12" s="5" t="inlineStr">
        <is>
          <t>Giữ nguyên vai trò các Bên như dự thảo: Bên A = Shizencos, Bên B = DS Corporation. Ô nền hồng nhạt do hai Bên điền trong buổi thương thảo.</t>
        </is>
      </c>
    </row>
    <row r="14" ht="34" customHeight="1">
      <c r="A14" s="7" t="inlineStr">
        <is>
          <t>STT</t>
        </is>
      </c>
      <c r="B14" s="7" t="inlineStr">
        <is>
          <t>Điều khoản</t>
        </is>
      </c>
      <c r="C14" s="7" t="inlineStr">
        <is>
          <t>Nội dung dự thảo hiện tại</t>
        </is>
      </c>
      <c r="D14" s="7" t="inlineStr">
        <is>
          <t>Vấn đề / lý do đề nghị sửa</t>
        </is>
      </c>
      <c r="E14" s="7" t="inlineStr">
        <is>
          <t>Căn cứ pháp lý</t>
        </is>
      </c>
      <c r="F14" s="7" t="inlineStr">
        <is>
          <t>Đề xuất sửa đổi của Bên B (DS)</t>
        </is>
      </c>
      <c r="G14" s="7" t="inlineStr">
        <is>
          <t>Tính chất</t>
        </is>
      </c>
      <c r="H14" s="7" t="inlineStr">
        <is>
          <t>Ý kiến Bên A (Shizencos)</t>
        </is>
      </c>
      <c r="I14" s="7" t="inlineStr">
        <is>
          <t>Kết quả</t>
        </is>
      </c>
      <c r="J14" s="7" t="inlineStr">
        <is>
          <t>Nội dung chốt cuối cùng</t>
        </is>
      </c>
    </row>
    <row r="15" ht="135" customHeight="1">
      <c r="A15" s="8" t="n">
        <v>1</v>
      </c>
      <c r="B15" s="9" t="inlineStr">
        <is>
          <t>Tiêu đề</t>
        </is>
      </c>
      <c r="C15" s="10" t="inlineStr">
        <is>
          <t>HỢP ĐỒNG MUA BÁN
Số:  05/10/2026-HĐMB/SHI-DS CORPORATION/TC-1
Căn cứ vào khả năng và nhu cầu mua bán của hai Bên;
Sau khi bàn bạc thỏa thuận hai Bên thống nhất ký kết hợp đồng mua bán theo các điều khoản cụ thể sau:</t>
        </is>
      </c>
      <c r="D15" s="10" t="inlineStr">
        <is>
          <t>Nội dung là gia công theo đơn đặt hàng (bên A dùng nguyên liệu của mình, bao bì của bên B) nhưng tiêu đề là “mua bán”. Hồ sơ công bố mỹ phẩm sản xuất trong nước cần hợp đồng sản xuất/gia công.</t>
        </is>
      </c>
      <c r="E15" s="11" t="inlineStr">
        <is>
          <t>Luật Thương mại 2005 Điều 178–184; BLDS 2015 Điều 542–553; Thông tư 06/2011/TT-BYT</t>
        </is>
      </c>
      <c r="F15" s="10" t="inlineStr">
        <is>
          <t>HỢP ĐỒNG GIA CÔNG SẢN XUẤT MỸ PHẨM
Số:  05/10/2026-HĐGC/SHI-DS CORPORATION/TC-1
Căn cứ vào khả năng và nhu cầu gia công của hai Bên;
Sau khi bàn bạc thỏa thuận hai Bên thống nhất ký kết hợp đồng gia công theo các điều khoản cụ thể sau:</t>
        </is>
      </c>
      <c r="G15" s="8" t="inlineStr">
        <is>
          <t>Pháp lý</t>
        </is>
      </c>
      <c r="H15" s="12" t="inlineStr"/>
      <c r="I15" s="13" t="inlineStr"/>
      <c r="J15" s="12" t="inlineStr"/>
    </row>
    <row r="16" ht="135" customHeight="1">
      <c r="A16" s="8" t="n">
        <v>2</v>
      </c>
      <c r="B16" s="9" t="inlineStr">
        <is>
          <t>Căn cứ</t>
        </is>
      </c>
      <c r="C16" s="10" t="inlineStr">
        <is>
          <t>(Dự thảo chưa có quy định)</t>
        </is>
      </c>
      <c r="D16" s="10" t="inlineStr">
        <is>
          <t>Thiếu các văn bản chuyên ngành điều chỉnh sản xuất, công bố và ghi nhãn mỹ phẩm.</t>
        </is>
      </c>
      <c r="E16" s="11" t="inlineStr">
        <is>
          <t>NĐ 93/2016, NĐ 155/2018, TT 06/2011, NĐ 43/2017, NĐ 111/2021</t>
        </is>
      </c>
      <c r="F16" s="10" t="inlineStr">
        <is>
          <t>BỔ SUNG:
• Căn cứ Nghị định số 93/2016/NĐ-CP ngày 01/7/2016 của Chính phủ quy định về điều kiện sản xuất mỹ phẩm, được sửa đổi, bổ sung bởi Nghị định số 155/2018/NĐ-CP;
• Căn cứ Thông tư số 06/2011/TT-BYT ngày 25/01/2011 của Bộ Y tế quy định về quản lý mỹ phẩm và các văn bản sửa đổi, bổ sung;
• Căn cứ Nghị định số 43/2017/NĐ-CP ngày 14/4/2017 về nhãn hàng hóa, được sửa đổi, bổ sung bởi Nghị định số 111/2021/NĐ-CP;</t>
        </is>
      </c>
      <c r="G16" s="8" t="inlineStr">
        <is>
          <t>Pháp lý</t>
        </is>
      </c>
      <c r="H16" s="12" t="inlineStr"/>
      <c r="I16" s="13" t="inlineStr"/>
      <c r="J16" s="12" t="inlineStr"/>
    </row>
    <row r="17" ht="40.5" customHeight="1">
      <c r="A17" s="8" t="n">
        <v>3</v>
      </c>
      <c r="B17" s="9" t="inlineStr">
        <is>
          <t>Chủ thể</t>
        </is>
      </c>
      <c r="C17" s="10" t="inlineStr">
        <is>
          <t>BÊN GIA CÔNG
BÊN THUÊ GIA CÔNG</t>
        </is>
      </c>
      <c r="D17" s="10" t="inlineStr">
        <is>
          <t>Thống nhất thuật ngữ theo Luật Thương mại.</t>
        </is>
      </c>
      <c r="E17" s="11" t="inlineStr">
        <is>
          <t>Luật Thương mại 2005 Điều 178</t>
        </is>
      </c>
      <c r="F17" s="10" t="inlineStr">
        <is>
          <t>BÊN NHẬN GIA CÔNG
BÊN ĐẶT GIA CÔNG</t>
        </is>
      </c>
      <c r="G17" s="8" t="inlineStr">
        <is>
          <t>Pháp lý</t>
        </is>
      </c>
      <c r="H17" s="12" t="inlineStr"/>
      <c r="I17" s="13" t="inlineStr"/>
      <c r="J17" s="12" t="inlineStr"/>
    </row>
    <row r="18" ht="108" customHeight="1">
      <c r="A18" s="8" t="n">
        <v>4</v>
      </c>
      <c r="B18" s="9" t="inlineStr">
        <is>
          <t>Điều 1 – Nhãn hàng</t>
        </is>
      </c>
      <c r="C18" s="10" t="inlineStr">
        <is>
          <t>Nhãn hàng: “DS CORPORATION”
Chi tiết gia công cho sản phẩm: Sản phẩm “Pre-Shampoo Scalp Oil-Serum” - Nhãn hàng “DS CORPORATION”
Bao bì cho sản phẩm “Pre-Shampoo Scalp Oil-Serum” – Nhãn hàng “DS CORPORATION”</t>
        </is>
      </c>
      <c r="D18" s="10" t="inlineStr">
        <is>
          <t>“DS CORPORATION” là tên pháp nhân, không phải nhãn hàng in trên bao bì. Tên nhãn hàng trên Phiếu công bố phải trùng nhãn sản phẩm lưu hành.</t>
        </is>
      </c>
      <c r="E18" s="11" t="inlineStr">
        <is>
          <t>Thông tư 06/2011/TT-BYT (Phiếu công bố); NĐ 43/2017 (nhãn)</t>
        </is>
      </c>
      <c r="F18" s="10" t="inlineStr">
        <is>
          <t>Nhãn hàng: “[●]” (theo hồ sơ công bố)
Chi tiết gia công cho sản phẩm: Sản phẩm “Pre-Shampoo Scalp Oil-Serum” - Nhãn hàng “[●]”
Bao bì cho sản phẩm “Pre-Shampoo Scalp Oil-Serum” – Nhãn hàng “[●]”</t>
        </is>
      </c>
      <c r="G18" s="8" t="inlineStr">
        <is>
          <t>Pháp lý</t>
        </is>
      </c>
      <c r="H18" s="12" t="inlineStr"/>
      <c r="I18" s="13" t="inlineStr"/>
      <c r="J18" s="12" t="inlineStr"/>
    </row>
    <row r="19" ht="108" customHeight="1">
      <c r="A19" s="8" t="n">
        <v>5</v>
      </c>
      <c r="B19" s="9" t="inlineStr">
        <is>
          <t>Điều 1 – Phạm vi đơn giá</t>
        </is>
      </c>
      <c r="C19" s="10" t="inlineStr">
        <is>
          <t>(Dự thảo chưa có quy định)</t>
        </is>
      </c>
      <c r="D19" s="10" t="inlineStr">
        <is>
          <t>Đơn giá trọn gói chưa xác định rõ phạm vi, có thể phát sinh chi phí ngoài dự kiến.</t>
        </is>
      </c>
      <c r="E19" s="11" t="inlineStr">
        <is>
          <t>Luật Thương mại 2005 Điều 183 (thù lao gia công)</t>
        </is>
      </c>
      <c r="F19" s="10" t="inlineStr">
        <is>
          <t>BỔ SUNG:
• Ngoài các khoản nêu trên, đơn giá đã bao gồm toàn bộ chi phí nguyên liệu, phát triển và hoàn thiện mẫu, chiết rót, dán nhãn, đóng hộp, co màng, đóng thùng carton trơn, kiểm tra chất lượng và chi phí soạn hồ sơ công bố. Bên A không được thu thêm bất kỳ khoản nào khác nếu chưa được Bên B chấp thuận trước bằng văn bản. Đơn giá cố định cho đơn hàng này và có hiệu lực 06 tháng đối với đơn hàng tái đặt cùng quy cách.</t>
        </is>
      </c>
      <c r="G19" s="8" t="inlineStr">
        <is>
          <t>Thương mại</t>
        </is>
      </c>
      <c r="H19" s="12" t="inlineStr"/>
      <c r="I19" s="13" t="inlineStr"/>
      <c r="J19" s="12" t="inlineStr"/>
    </row>
    <row r="20" ht="135" customHeight="1">
      <c r="A20" s="8" t="n">
        <v>6</v>
      </c>
      <c r="B20" s="9" t="inlineStr">
        <is>
          <t>Điều 1 – Bao bì lỗi</t>
        </is>
      </c>
      <c r="C20" s="10" t="inlineStr">
        <is>
          <t>Trường hợp bao bì khách cung cấp lỗi vượt quá 3% thì Bên A sẽ tính giá trị dịch dư theo định mức đủ số lượng nguyên liệu Bên B đã đặt hàng lúc ký hợp đồng.
Trường hợp bao bì khách cung cấp lỗi nhỏ hơn 3% thì Bên A sẽ tính giá trị nguyên liệu theo số lượng thực tế sau sản xuất.</t>
        </is>
      </c>
      <c r="D20" s="10" t="inlineStr">
        <is>
          <t>Bên B bị tính tiền toàn bộ dịch theo số đặt hàng dù không nhận được thành phẩm; chưa có thủ tục xác nhận lỗi bao bì.</t>
        </is>
      </c>
      <c r="E20" s="11" t="inlineStr">
        <is>
          <t>BLDS 2015 Điều 542–553 (hợp đồng gia công)</t>
        </is>
      </c>
      <c r="F20" s="10" t="inlineStr">
        <is>
          <t>Trường hợp bao bì do Bên B cung cấp bị lỗi vượt quá 3%, Bên A thông báo bằng văn bản kèm biên bản, hình ảnh trong vòng 02 ngày làm việc kể từ ngày nhận bao bì; phần dịch đã sản xuất theo định mức được lưu kho chờ Bên B bổ sung bao bì và chỉ được tính tiền khi đã chiết rót thành thành phẩm hoặc khi Bên B xác nhận bằng văn bản không bổ sung bao bì.
Trường hợp bao bì do Bên B cung cấp bị lỗi từ 3% trở xuống, Bên A tính giá trị theo số lượng thành phẩm thực tế đạt chất lượng.</t>
        </is>
      </c>
      <c r="G20" s="8" t="inlineStr">
        <is>
          <t>Thương mại</t>
        </is>
      </c>
      <c r="H20" s="12" t="inlineStr"/>
      <c r="I20" s="13" t="inlineStr"/>
      <c r="J20" s="12" t="inlineStr"/>
    </row>
    <row r="21" ht="108" customHeight="1">
      <c r="A21" s="8" t="n">
        <v>7</v>
      </c>
      <c r="B21" s="9" t="inlineStr">
        <is>
          <t>Điều 1 – Mẫu chốt &amp; ổn định</t>
        </is>
      </c>
      <c r="C21" s="10" t="inlineStr">
        <is>
          <t>Mẫu chốt đầu tiên cần được theo dõi tối thiểu từ 07-14 ngày trước khi tiến hành sản xuất. Trường hợp Bên B có nhu cầu sản xuất gấp, hai Bên sẽ thống nhất và xác nhận bằng email hoặc văn bản trước khi triển khai sản xuất.</t>
        </is>
      </c>
      <c r="D21" s="10" t="inlineStr">
        <is>
          <t>Theo dõi mẫu 07–14 ngày không đủ phát hiện ôi dầu, đổi mùi đối với sản phẩm dầu chứa tinh dầu và dầu giàu omega.</t>
        </is>
      </c>
      <c r="E21" s="11" t="inlineStr">
        <is>
          <t>Thông tư 06/2011/TT-BYT (PIF – dữ liệu ổn định)</t>
        </is>
      </c>
      <c r="F21" s="10" t="inlineStr">
        <is>
          <t>Trước khi sản xuất đại trà, Bên A cung cấp mẫu chốt có chữ ký xác nhận của hai Bên (mỗi Bên giữ 01 bộ niêm phong) và báo cáo thử độ ổn định tăng tốc (40–45 °C) tối thiểu 04 tuần, kèm kết quả ở điều kiện lạnh, chu kỳ nóng – lạnh và trên bao bì thực tế. Bên A chỉ sản xuất sau khi Bên B ký xác nhận mẫu chốt. Trường hợp Bên B có nhu cầu sản xuất sớm hơn, hai Bên thống nhất bằng văn bản; Bên A vẫn tiếp tục theo dõi độ ổn định và thông báo ngay cho Bên B nếu phát hiện bất thường.</t>
        </is>
      </c>
      <c r="G21" s="8" t="inlineStr">
        <is>
          <t>Chất lượng</t>
        </is>
      </c>
      <c r="H21" s="12" t="inlineStr"/>
      <c r="I21" s="13" t="inlineStr"/>
      <c r="J21" s="12" t="inlineStr"/>
    </row>
    <row r="22" ht="81" customHeight="1">
      <c r="A22" s="8" t="n">
        <v>8</v>
      </c>
      <c r="B22" s="9" t="inlineStr">
        <is>
          <t>Điều 1 – Dung sai số lượng</t>
        </is>
      </c>
      <c r="C22" s="10" t="inlineStr">
        <is>
          <t>Số lượng thực tế có thể giao động từ ± 5 - 10% so với số lượng Bên B đã đặt hàng trước đó, đồng thời thanh toán theo số lượng thực sau sản xuất.</t>
        </is>
      </c>
      <c r="D22" s="10" t="inlineStr">
        <is>
          <t>Dung sai ±5–10% quá rộng so với bao bì nhập khẩu số lượng cố định; Bên B có thể phải nhận thừa hoặc thiếu hàng.</t>
        </is>
      </c>
      <c r="E22" s="11" t="inlineStr">
        <is>
          <t>Thỏa thuận thương mại</t>
        </is>
      </c>
      <c r="F22" s="10" t="inlineStr">
        <is>
          <t>Số lượng giao thực tế được phép sai lệch trong phạm vi ± 3% so với số lượng Bên B đặt hàng nhưng không vượt quá số lượng đặt hàng; thanh toán theo số lượng thực tế đạt chất lượng. Trường hợp thiếu hụt vượt quá 3% do lỗi của Bên A, Bên A sản xuất bù trong vòng 10 ngày làm việc mà không phát sinh chi phí cho Bên B.</t>
        </is>
      </c>
      <c r="G22" s="8" t="inlineStr">
        <is>
          <t>Thương mại</t>
        </is>
      </c>
      <c r="H22" s="12" t="inlineStr"/>
      <c r="I22" s="13" t="inlineStr"/>
      <c r="J22" s="12" t="inlineStr"/>
    </row>
    <row r="23" ht="135" customHeight="1">
      <c r="A23" s="8" t="n">
        <v>9</v>
      </c>
      <c r="B23" s="9" t="inlineStr">
        <is>
          <t>Điều 1 – Chi phí ngoài đơn giá</t>
        </is>
      </c>
      <c r="C23" s="10" t="inlineStr">
        <is>
          <t>Tất cả các loại thuế, phí, chi phí vận chuyển hàng hóa, chi phí xếp hàng, dỡ hàng và các chi phí khác (nếu có) Bên A sẽ thông báo cho Bên B trước khi giao hàng.</t>
        </is>
      </c>
      <c r="D23" s="10" t="inlineStr">
        <is>
          <t>Bên A chỉ “thông báo” chi phí trước khi giao hàng, không cần Bên B đồng ý.</t>
        </is>
      </c>
      <c r="E23" s="11" t="inlineStr">
        <is>
          <t>BLDS 2015 Điều 385 (thỏa thuận hợp đồng)</t>
        </is>
      </c>
      <c r="F23" s="10" t="inlineStr">
        <is>
          <t>Các loại thuế, phí, chi phí vận chuyển, xếp dỡ và chi phí khác ngoài đơn giá (nếu có) chỉ được tính cho Bên B khi Bên A báo trước bằng văn bản và được Bên B chấp thuận trước khi thực hiện.
BỔ SUNG:
• Bên A cung cấp bảng cấu thành đơn giá (giá dịch theo kg, định mức gam/chai, chi phí chiết rót, dán nhãn, đóng hộp, co màng, đóng thùng) tại Phụ lục 03 làm cơ sở đối chiếu.</t>
        </is>
      </c>
      <c r="G23" s="8" t="inlineStr">
        <is>
          <t>Thương mại</t>
        </is>
      </c>
      <c r="H23" s="12" t="inlineStr"/>
      <c r="I23" s="13" t="inlineStr"/>
      <c r="J23" s="12" t="inlineStr"/>
    </row>
    <row r="24" ht="202.5" customHeight="1">
      <c r="A24" s="8" t="n">
        <v>10</v>
      </c>
      <c r="B24" s="9" t="inlineStr">
        <is>
          <t>Điều 1 – Biến thiên nguyên liệu tự nhiên</t>
        </is>
      </c>
      <c r="C24" s="10" t="inlineStr">
        <is>
          <t>Hai Bên thống nhất rằng đối với các sản phẩm sử dụng nguyên liệu có nguồn gốc tự nhiên (bao gồm nhưng không giới hạn: tinh dầu, chiết xuất thực vật, nguyên liệu...), sản phẩm có thể có sự thay đổi nhẹ về màu sắc, mùi hương, độ đậm nhạt hoặc đặc tính cảm quan giữa các lô sản xuất do sự biến thiên tự nhiên của nguyên liệu đầu vào. Các sai lệch trong phạm vi cho phép của tiêu chuẩn chất lượng đã thống nhất không được xem là lỗi sản phẩm hoặc cơ sở để từ chối nhận hàng.
Những thay đổi này là đặc tính tự nhiên của nguyên liệu và không ảnh hưởng đến chất lượng, độ an toàn hoặc công năng của sản phẩm khi được sản xuất theo đúng tiêu chuẩn kiểm soát chất lượng.</t>
        </is>
      </c>
      <c r="D24" s="10" t="inlineStr">
        <is>
          <t>Chưa có ngưỡng đo được để phân biệt biến thiên tự nhiên với lỗi sản phẩm.</t>
        </is>
      </c>
      <c r="E24" s="11" t="inlineStr">
        <is>
          <t>Thỏa thuận chất lượng</t>
        </is>
      </c>
      <c r="F24" s="10" t="inlineStr">
        <is>
          <t>Hai Bên thống nhất rằng đối với các sản phẩm sử dụng nguyên liệu có nguồn gốc tự nhiên (bao gồm nhưng không giới hạn: tinh dầu, chiết xuất thực vật, nguyên liệu...), sản phẩm có thể có sự thay đổi nhẹ về màu sắc, mùi hương, độ đậm nhạt hoặc đặc tính cảm quan giữa các lô sản xuất do sự biến thiên tự nhiên của nguyên liệu đầu vào. Các sai lệch trong phạm vi cho phép của Tiêu chuẩn cơ sở tại Phụ lục 02 và mẫu chốt không được xem là lỗi sản phẩm hoặc cơ sở để từ chối nhận hàng; sai lệch vượt ngoài phạm vi này được coi là lỗi sản phẩm.
Những thay đổi này là đặc tính tự nhiên của nguyên liệu và không ảnh hưởng đến chất lượng, độ an toàn hoặc công năng của sản phẩm khi được sản xuất theo đúng tiêu chuẩn kiểm soát chất lượng và Tiêu chuẩn cơ sở tại Phụ lục 02.</t>
        </is>
      </c>
      <c r="G24" s="8" t="inlineStr">
        <is>
          <t>Chất lượng</t>
        </is>
      </c>
      <c r="H24" s="12" t="inlineStr"/>
      <c r="I24" s="13" t="inlineStr"/>
      <c r="J24" s="12" t="inlineStr"/>
    </row>
    <row r="25" ht="409" customHeight="1">
      <c r="A25" s="8" t="n">
        <v>11</v>
      </c>
      <c r="B25" s="9" t="inlineStr">
        <is>
          <t>Điều 1 – Yêu cầu kỹ thuật &amp; bàn giao công thức (OEM)</t>
        </is>
      </c>
      <c r="C25" s="10" t="inlineStr">
        <is>
          <t>(Dự thảo chưa có quy định)</t>
        </is>
      </c>
      <c r="D25" s="10" t="inlineStr">
        <is>
          <t>Hợp đồng OEM: Bên B là chủ thương hiệu, đặt hàng và trả chi phí phát triển, đồng thời là tổ chức đứng tên công bố phải lưu giữ PIF (gồm công thức định lượng) tại địa chỉ của mình. Dự thảo chỉ ghi LOT công thức, không có nghĩa vụ bàn giao công thức và không xác định quyền sở hữu công thức.</t>
        </is>
      </c>
      <c r="E25" s="11" t="inlineStr">
        <is>
          <t>Luật Thương mại 2005 Điều 178–181 (gia công theo yêu cầu của bên đặt gia công; quyền kiểm tra); BLDS 2015 Điều 542; Thông tư 06/2011/TT-BYT (PIF lưu tại tổ chức chịu trách nhiệm đưa sản phẩm ra thị trường); Luật Sở hữu trí tuệ (bí mật kinh doanh)</t>
        </is>
      </c>
      <c r="F25" s="10" t="inlineStr">
        <is>
          <t>BỔ SUNG:
• Yêu cầu kỹ thuật công thức: Bên A sản xuất sản phẩm theo công thức LOT 26I261 đáp ứng Phụ lục 01, trong đó hàm lượng của 08 thành phần chủ chốt nằm trong khoảng quy định để bảo đảm công dụng tương đương sản phẩm tham chiếu, và tuân thủ các giới hạn an toàn. Yêu cầu này nằm trong đơn giá đã thỏa thuận tại Điều 1, không làm phát sinh chi phí cho Bên B.
• Bàn giao công thức: Trong vòng 05 ngày làm việc kể từ ngày ký Hợp đồng và trước khi Bên B ký xác nhận mẫu chốt, Bên A bàn giao cho Bên B Hồ sơ công thức đầy đủ theo Phụ lục 01 mục D, gồm: bảng định lượng 100% thành phần (tên thương mại, INCI, số CAS, % khối lượng, chức năng, nhà sản xuất/nhà cung cấp, cấp độ nguyên liệu), quy trình sản xuất (thứ tự phối trộn, nhiệt độ, thời gian, tốc độ khuấy, điều kiện lọc và chiết rót), các điểm kiểm soát trong quá trình, tiêu chuẩn và COA nguyên liệu, chứng nhận IFRA/bảng allergen của tinh dầu. Mọi thay đổi công thức, nhà cung cấp hoặc cấp độ nguyên liệu sau đó phải được Bên B chấp thuận trước bằng văn bản và cập nhật vào Hồ sơ công thức.
• Quyền sở hữu công thức: Công thức LOT 26I261 được phát triển theo yêu cầu, định hướng sản phẩm và đơn đặt hàng của Bên B, là sản phẩm gia công theo Hợp đồng OEM này; Hồ sơ công thức và mọi quyền đối với công thức thuộc về Bên B kể từ ngày Bên B thanh toán Đợt 1. Bên A được tiếp tục sử dụng kiến thức, kỹ năng chung và nguyên liệu nền phổ thông của mình nhưng không được sản xuất, chuyển giao hoặc cung cấp cho bên thứ ba sản phẩm sử dụng công thức này hoặc công thức gần như đồng nhất.
• Mỗi lô thành phẩm phải kèm Phiếu kiểm nghiệm (COA) của Bên A. Lô đầu tiên được kiểm nghiệm vi sinh, kim loại nặng và hàm lượng Bakuchiol tại đơn vị kiểm nghiệm đủ điều kiện; chi phí đã bao gồm trong đơn giá.</t>
        </is>
      </c>
      <c r="G25" s="8" t="inlineStr">
        <is>
          <t>Pháp lý</t>
        </is>
      </c>
      <c r="H25" s="12" t="inlineStr"/>
      <c r="I25" s="13" t="inlineStr"/>
      <c r="J25" s="12" t="inlineStr"/>
    </row>
    <row r="26" ht="40.5" customHeight="1">
      <c r="A26" s="8" t="n">
        <v>12</v>
      </c>
      <c r="B26" s="9" t="inlineStr">
        <is>
          <t>Điều 2 – Lãi chậm trả</t>
        </is>
      </c>
      <c r="C26" s="10" t="inlineStr">
        <is>
          <t>Lãi suất phát sinh do chậm thanh toán được áp dụng theo lãi suất nợ quá hạn của Ngân hàng TMCP Ngoại Thương Việt Nam tương ứng với thời hạn chậm thanh toán.</t>
        </is>
      </c>
      <c r="D26" s="10" t="inlineStr">
        <is>
          <t>Áp lãi suất của một ngân hàng cụ thể không phải cách xác định theo luật, dễ tranh chấp.</t>
        </is>
      </c>
      <c r="E26" s="11" t="inlineStr">
        <is>
          <t>Luật Thương mại 2005 Điều 306</t>
        </is>
      </c>
      <c r="F26" s="10" t="inlineStr">
        <is>
          <t>Lãi chậm thanh toán được tính theo lãi suất nợ quá hạn trung bình trên thị trường tại thời điểm thanh toán tương ứng với thời gian chậm trả, theo Điều 306 Luật Thương mại 2005.</t>
        </is>
      </c>
      <c r="G26" s="8" t="inlineStr">
        <is>
          <t>Pháp lý</t>
        </is>
      </c>
      <c r="H26" s="12" t="inlineStr"/>
      <c r="I26" s="13" t="inlineStr"/>
      <c r="J26" s="12" t="inlineStr"/>
    </row>
    <row r="27" ht="148.5" customHeight="1">
      <c r="A27" s="8" t="n">
        <v>13</v>
      </c>
      <c r="B27" s="9" t="inlineStr">
        <is>
          <t>Điều 2 – Đợt thanh toán</t>
        </is>
      </c>
      <c r="C27" s="10" t="inlineStr">
        <is>
          <t>Đợt 1: Sau khi hợp đồng được ký kết, Bên B thanh toán cho Bên A 70% giá trị hợp đồng tương ứng với số tiền 90,417,600 VNĐ (Bằng chữ: Chín mươi triệu bốn trăm mười bảy nghìn sáu trăm đồng).
Đợt 2: Bên B thanh toán số tiền còn lại cho Bên A ngay sau khi Bên A thông báo hoàn tất đơn hàng, chuẩn bị giao hàng.</t>
        </is>
      </c>
      <c r="D27" s="10" t="inlineStr">
        <is>
          <t>Tạm ứng 70% quá cao; đợt 2 trả ngay khi Bên A “thông báo hoàn tất”, trước khi Bên B kiểm tra chất lượng.</t>
        </is>
      </c>
      <c r="E27" s="11" t="inlineStr">
        <is>
          <t>Luật Thương mại 2005 Điều 183 (thù lao gia công theo thỏa thuận)</t>
        </is>
      </c>
      <c r="F27" s="10" t="inlineStr">
        <is>
          <t>Đợt 1: Trong vòng 05 ngày làm việc kể từ ngày hợp đồng được ký kết và Bên B nhận được đề nghị thanh toán của Bên A, Bên B thanh toán cho Bên A 50% giá trị hợp đồng tương ứng với số tiền 64.584.000 VNĐ (Bằng chữ: Sáu mươi tư triệu năm trăm tám mươi tư nghìn đồng).
Đợt 2: Bên B thanh toán giá trị còn lại, tính theo số lượng thực tế nghiệm thu đạt, trong vòng 07 ngày làm việc kể từ ngày Bên B nhận đủ: biên bản giao nhận và nghiệm thu, Phiếu kiểm nghiệm (COA) của lô hàng, hóa đơn GTGT hợp lệ và biên bản đối chiếu bao bì, vật tư.</t>
        </is>
      </c>
      <c r="G27" s="8" t="inlineStr">
        <is>
          <t>Thương mại</t>
        </is>
      </c>
      <c r="H27" s="12" t="inlineStr"/>
      <c r="I27" s="13" t="inlineStr"/>
      <c r="J27" s="12" t="inlineStr"/>
    </row>
    <row r="28" ht="81" customHeight="1">
      <c r="A28" s="8" t="n">
        <v>14</v>
      </c>
      <c r="B28" s="9" t="inlineStr">
        <is>
          <t>Điều 3 – Nguyên liệu</t>
        </is>
      </c>
      <c r="C28" s="10" t="inlineStr">
        <is>
          <t>Bên A chuẩn bị đầy đủ nguyên liệu (nguyên liệu chính, nguyên liệu phụ) để gia công cho ruột sản phẩm.</t>
        </is>
      </c>
      <c r="D28" s="10" t="inlineStr">
        <is>
          <t>Bên A cung cấp toàn bộ nguyên liệu nhưng chưa có nghĩa vụ hồ sơ nguyên liệu (cần cho PIF, ghi nhãn allergen).</t>
        </is>
      </c>
      <c r="E28" s="11" t="inlineStr">
        <is>
          <t>Thông tư 06/2011/TT-BYT (PIF); Luật Thương mại 2005 Điều 182</t>
        </is>
      </c>
      <c r="F28" s="10" t="inlineStr">
        <is>
          <t>Bên A chuẩn bị đầy đủ nguyên liệu (nguyên liệu chính, nguyên liệu phụ) để gia công cho ruột sản phẩm; nguyên liệu phải có nguồn gốc rõ ràng, kèm COA, MSDS; tinh dầu có chứng nhận IFRA và bảng thành phần gây dị ứng (allergen); Bakuchiol có chỉ tiêu psoralen/furocoumarin. Bên A chịu trách nhiệm về chất lượng sản phẩm phát sinh từ nguyên liệu do Bên A cung cấp.</t>
        </is>
      </c>
      <c r="G28" s="8" t="inlineStr">
        <is>
          <t>Chất lượng</t>
        </is>
      </c>
      <c r="H28" s="12" t="inlineStr"/>
      <c r="I28" s="13" t="inlineStr"/>
      <c r="J28" s="12" t="inlineStr"/>
    </row>
    <row r="29" ht="162" customHeight="1">
      <c r="A29" s="8" t="n">
        <v>15</v>
      </c>
      <c r="B29" s="9" t="inlineStr">
        <is>
          <t>Điều 3 – Hao hụt bao bì</t>
        </is>
      </c>
      <c r="C29" s="10" t="inlineStr">
        <is>
          <t>Trường hợp Bên B cung cấp cho Bên A sẽ cộng hao hụt 3 – 10% tùy danh mục sản phẩm để đảm bảo số lượng thực tế sau sản xuất đủ với số lượng đặt hàng từ ban đầu, sau sản xuất Bên A đối chiếu số lượng thành phẩm và số lượng bao bì tồn và hư</t>
        </is>
      </c>
      <c r="D29" s="10" t="inlineStr">
        <is>
          <t>Hao hụt 3–10% quá rộng với bao bì nhập khẩu; câu văn trong dự thảo bị cắt dở (“…tồn và hư”); bảng bao bì thiếu mục 3 và nắp dropper/pump.</t>
        </is>
      </c>
      <c r="E29" s="11" t="inlineStr">
        <is>
          <t>Luật Thương mại 2005 Điều 182 (hoàn trả nguyên liệu, vật liệu dư)</t>
        </is>
      </c>
      <c r="F29" s="10" t="inlineStr">
        <is>
          <t>Bao bì do Bên B cung cấp được tính hao hụt tối đa: chai, nắp, dropper/pump ≤ 3%; nhãn, hộp, tem ≤ 2%. Hao hụt vượt định mức do lỗi của Bên A được Bên A bồi hoàn theo giá mua có chứng từ. Trong vòng 07 ngày làm việc sau khi sản xuất xong, hai Bên lập biên bản đối chiếu số lượng thành phẩm, bao bì đã sử dụng, hư hỏng và tồn; Bên A hoàn trả toàn bộ bao bì dư, hư hỏng cho Bên B.
BỔ SUNG:
• Chi tiết quy cách bao bì, vật tư (bao gồm nắp dropper/pump và thùng carton) và định mức hao hụt theo Phụ lục 03.</t>
        </is>
      </c>
      <c r="G29" s="8" t="inlineStr">
        <is>
          <t>Thương mại</t>
        </is>
      </c>
      <c r="H29" s="12" t="inlineStr"/>
      <c r="I29" s="13" t="inlineStr"/>
      <c r="J29" s="12" t="inlineStr"/>
    </row>
    <row r="30" ht="148.5" customHeight="1">
      <c r="A30" s="8" t="n">
        <v>16</v>
      </c>
      <c r="B30" s="9" t="inlineStr">
        <is>
          <t>Điều 3 – Duyệt thiết kế bao bì</t>
        </is>
      </c>
      <c r="C30" s="10" t="inlineStr">
        <is>
          <t>Trước khi tiến hành in bao bì Bên B bắt buộc phải gửi thiết kế cho Bên A để Bên A kiểm tra thông tin bao bì. Sau khi kiểm tra xong Bên A phản hồi đồng ý thì Bên B tiến hành in bao bì. Nếu Bên B tự in bao bì không đúng như trên hồ sơ công bố, Bên A sẽ không nhận bao bì Bên B đã in và Bên B phải in lại thông tin đúng như trên hồ sơ công bố.</t>
        </is>
      </c>
      <c r="D30" s="10" t="inlineStr">
        <is>
          <t>Chưa có thời hạn phản hồi và chưa phân định trách nhiệm khi Bên A đã duyệt sai.</t>
        </is>
      </c>
      <c r="E30" s="11" t="inlineStr">
        <is>
          <t>NĐ 43/2017 (nhãn hàng hóa)</t>
        </is>
      </c>
      <c r="F30" s="10" t="inlineStr">
        <is>
          <t>Trước khi tiến hành in bao bì Bên B bắt buộc phải gửi thiết kế cho Bên A để Bên A kiểm tra thông tin bao bì. Sau khi kiểm tra xong Bên A phản hồi đồng ý thì Bên B tiến hành in bao bì. Nếu Bên B tự in bao bì không đúng như trên hồ sơ công bố, Bên A sẽ không nhận bao bì Bên B đã in và Bên B phải in lại thông tin đúng như trên hồ sơ công bố. Bên A phản hồi bằng văn bản trong vòng 03 ngày làm việc kể từ ngày nhận thiết kế; quá thời hạn này mà Bên A không phản hồi thì coi như Bên A đã đồng ý. Trường hợp Bên A đã xác nhận mà nội dung bắt buộc trên bao bì sai so với hồ sơ công bố do Bên A soạn thảo, Bên A chịu chi phí in lại.</t>
        </is>
      </c>
      <c r="G30" s="8" t="inlineStr">
        <is>
          <t>Pháp lý</t>
        </is>
      </c>
      <c r="H30" s="12" t="inlineStr"/>
      <c r="I30" s="13" t="inlineStr"/>
      <c r="J30" s="12" t="inlineStr"/>
    </row>
    <row r="31" ht="135" customHeight="1">
      <c r="A31" s="8" t="n">
        <v>17</v>
      </c>
      <c r="B31" s="9" t="inlineStr">
        <is>
          <t>Điều 4 – Thời hạn sản xuất</t>
        </is>
      </c>
      <c r="C31" s="10" t="inlineStr">
        <is>
          <t>Kể từ ngày nhận đủ bao bì, nguyên vật liệu và lên lịch sản xuất, sau 07-14 ngày làm việc (trừ ngày chủ nhật và các ngày lễ ra) Bên A sẽ giao hàng cho Bên B. Trường hợp Bên B đặt số lượng hàng nhiều. Tùy thuộc vào thời điểm trong năm, giữa hai Bên có thể thương lượng: giao hàng nhiều đợt để đáp ứng nhu cầu bán hàng của Bên B.
Bên A báo trước cho Bên B từ 01-07 ngày sau khi hoàn thành thành phẩm để Bên B chuẩn bị nhận hàng.</t>
        </is>
      </c>
      <c r="D31" s="10" t="inlineStr">
        <is>
          <t>Thời hạn “07–14 ngày” không xác định; không có cam kết lịch sản xuất.</t>
        </is>
      </c>
      <c r="E31" s="11" t="inlineStr">
        <is>
          <t>BLDS 2015 Điều 278 (thời hạn)</t>
        </is>
      </c>
      <c r="F31" s="10" t="inlineStr">
        <is>
          <t>Kể từ ngày nhận đủ bao bì và mẫu chốt đã được ký xác nhận, Bên A hoàn thành sản xuất và giao hàng cho Bên B trong thời hạn tối đa 14 (mười bốn) ngày làm việc. Trong vòng 03 ngày làm việc kể từ ngày nhận đơn đặt hàng, Bên A xác nhận bằng văn bản lịch sản xuất và ngày giao hàng cụ thể. Trường hợp Bên B đặt số lượng lớn, hai Bên có thể thỏa thuận bằng văn bản việc giao hàng nhiều đợt.
Bên A thông báo cho Bên B tối thiểu 03 ngày làm việc trước ngày giao hàng để Bên B chuẩn bị nhận hàng.</t>
        </is>
      </c>
      <c r="G31" s="8" t="inlineStr">
        <is>
          <t>Thương mại</t>
        </is>
      </c>
      <c r="H31" s="12" t="inlineStr"/>
      <c r="I31" s="13" t="inlineStr"/>
      <c r="J31" s="12" t="inlineStr"/>
    </row>
    <row r="32" ht="202.5" customHeight="1">
      <c r="A32" s="8" t="n">
        <v>18</v>
      </c>
      <c r="B32" s="9" t="inlineStr">
        <is>
          <t>Điều 4 – Chuyển rủi ro, nghiệm thu, chậm giao</t>
        </is>
      </c>
      <c r="C32" s="10" t="inlineStr">
        <is>
          <t>(Dự thảo chưa có quy định)</t>
        </is>
      </c>
      <c r="D32" s="10" t="inlineStr">
        <is>
          <t>Dự thảo không có điều khoản nghiệm thu, thời điểm chuyển rủi ro và chế tài chậm giao hàng.</t>
        </is>
      </c>
      <c r="E32" s="11" t="inlineStr">
        <is>
          <t>Luật Thương mại 2005 Điều 300–303; BLDS 2015 Điều 441 (thời điểm chịu rủi ro)</t>
        </is>
      </c>
      <c r="F32" s="10" t="inlineStr">
        <is>
          <t>BỔ SUNG:
• Rủi ro đối với hàng hóa chuyển sang Bên B kể từ thời điểm hai Bên ký biên bản giao nhận.
• Nghiệm thu: số lượng, quy cách được kiểm đếm khi giao nhận; chất lượng được nghiệm thu trong vòng 10 ngày làm việc kể từ ngày Bên B nhận hàng trên cơ sở Tiêu chuẩn cơ sở (Phụ lục 02), COA và mẫu chốt. Khuyết tật ẩn được khiếu nại trong thời hạn bảo hành.
• Chậm giao hàng: Bên A giao hàng chậm so với ngày đã xác nhận phải chịu phạt 0,5% giá trị phần hàng chậm giao cho mỗi ngày chậm, tổng mức phạt không vượt quá 8% giá trị phần nghĩa vụ bị vi phạm. Chậm quá 15 ngày, Bên B có quyền hủy phần hàng chậm giao, được hoàn trả số tiền đã thanh toán tương ứng trong vòng 05 ngày làm việc và yêu cầu bồi thường thiệt hại thực tế.</t>
        </is>
      </c>
      <c r="G32" s="8" t="inlineStr">
        <is>
          <t>Thương mại</t>
        </is>
      </c>
      <c r="H32" s="12" t="inlineStr"/>
      <c r="I32" s="13" t="inlineStr"/>
      <c r="J32" s="12" t="inlineStr"/>
    </row>
    <row r="33" ht="121.5" customHeight="1">
      <c r="A33" s="8" t="n">
        <v>19</v>
      </c>
      <c r="B33" s="9" t="inlineStr">
        <is>
          <t>Điều 5 – Thời hạn bảo hành</t>
        </is>
      </c>
      <c r="C33" s="10" t="inlineStr">
        <is>
          <t>Bên A chịu trách nhiệm bảo hành độ ổn định cho sản phẩm Pre-Shampoo Scalp Oil-Serum của nhãn hàng DS Corporation  6 tháng phụ thuộc theo từng lỗi sản phẩm, do lỗi sản xuất của Bên A. Tính từ ngày ký vào biên bản giao hàng giữa hai Bên.
Hết hạn bảo hành, khi sản phẩm đã vượt quá thời gian bảo hành được ghi rõ trên bao bì sản phẩm, nhà máy không có nghĩa vụ chịu trách nhiệm về bất kỳ vấn đề nào phát sinh.</t>
        </is>
      </c>
      <c r="D33" s="10" t="inlineStr">
        <is>
          <t>Bảo hành 06 tháng trong khi sản phẩm lưu hành đến hết hạn sử dụng (dự kiến 24 tháng).</t>
        </is>
      </c>
      <c r="E33" s="11" t="inlineStr">
        <is>
          <t>BLDS 2015 Điều 446–448 (bảo hành)</t>
        </is>
      </c>
      <c r="F33" s="10" t="inlineStr">
        <is>
          <t>Bên A chịu trách nhiệm bảo hành chất lượng sản phẩm Pre-Shampoo Scalp Oil-Serum của Bên B đến hết hạn sử dụng ghi trên nhãn đối với các lỗi phát sinh từ nguyên liệu, công thức hoặc quá trình sản xuất của Bên A, tính từ ngày ký biên bản giao nhận giữa hai Bên.
Sản phẩm đã hết hạn sử dụng ghi trên nhãn.</t>
        </is>
      </c>
      <c r="G33" s="8" t="inlineStr">
        <is>
          <t>Chất lượng</t>
        </is>
      </c>
      <c r="H33" s="12" t="inlineStr"/>
      <c r="I33" s="13" t="inlineStr"/>
      <c r="J33" s="12" t="inlineStr"/>
    </row>
    <row r="34" ht="108" customHeight="1">
      <c r="A34" s="8" t="n">
        <v>20</v>
      </c>
      <c r="B34" s="9" t="inlineStr">
        <is>
          <t>Điều 5 – Miễn trừ</t>
        </is>
      </c>
      <c r="C34" s="10" t="inlineStr">
        <is>
          <t>Bên B không tuân thủ hướng dẫn sử dụng và bảo quản.
Khi Bên B yêu cầu sản xuất với tốc độ nhanh hơn quy trình chuẩn mà không có đủ thời gian để thực hiện đầy đủ các bước kiểm tra chất lượng, thì Bên A miễn trách nhiệm đối với bất kỳ lỗi hoặc vấn đề nào xảy ra do yêu cầu sản xuất nhanh.</t>
        </is>
      </c>
      <c r="D34" s="10" t="inlineStr">
        <is>
          <t>Miễn trừ quá rộng, áp dụng cho “bất kỳ lỗi nào”.</t>
        </is>
      </c>
      <c r="E34" s="11" t="inlineStr">
        <is>
          <t>Luật Thương mại 2005 Điều 294 (miễn trách nhiệm)</t>
        </is>
      </c>
      <c r="F34" s="10" t="inlineStr">
        <is>
          <t>Bên B không tuân thủ hướng dẫn bảo quản ghi trên nhãn hoặc khuyến cáo bằng văn bản của Bên A.
Bên B yêu cầu bằng văn bản sản xuất nhanh hơn quy trình chuẩn và Bên A đã cảnh báo cụ thể bằng văn bản các bước kiểm tra chất lượng bị lược bỏ; miễn trừ chỉ áp dụng đối với lỗi phát sinh trực tiếp từ các bước kiểm tra bị lược bỏ đó.</t>
        </is>
      </c>
      <c r="G34" s="8" t="inlineStr">
        <is>
          <t>Chất lượng</t>
        </is>
      </c>
      <c r="H34" s="12" t="inlineStr"/>
      <c r="I34" s="13" t="inlineStr"/>
      <c r="J34" s="12" t="inlineStr"/>
    </row>
    <row r="35" ht="229.5" customHeight="1">
      <c r="A35" s="8" t="n">
        <v>21</v>
      </c>
      <c r="B35" s="9" t="inlineStr">
        <is>
          <t>Điều 5 – Xử lý lỗi, thu hồi, mẫu lưu</t>
        </is>
      </c>
      <c r="C35" s="10" t="inlineStr">
        <is>
          <t>Trường hợp xác định lỗi phát sinh từ quá trình sản xuất và xác định được nguyên nhân, Bên A có trách nhiệm phối hợp xử lý hàng hóa bị lỗi do sản xuất cho Bên B trong thời hạn từ 15-30 ngày kể từ ngày Bên A nhận đủ hàng hóa.</t>
        </is>
      </c>
      <c r="D35" s="10" t="inlineStr">
        <is>
          <t>Bên A chỉ “phối hợp xử lý” trong 15–30 ngày, không có nghĩa vụ đổi hàng, hoàn tiền, bồi thường; chưa có cơ chế giám định và mẫu lưu.</t>
        </is>
      </c>
      <c r="E35" s="11" t="inlineStr">
        <is>
          <t>Luật Thương mại 2005 Điều 302–303; BLDS 2015 Điều 447</t>
        </is>
      </c>
      <c r="F35" s="10" t="inlineStr">
        <is>
          <t>Khi nhận được khiếu nại bằng văn bản/email của Bên B, Bên A phản hồi trong vòng 03 ngày làm việc và đưa ra phương án xử lý trong vòng 07 ngày làm việc. Nếu hai Bên không thống nhất nguyên nhân, mẫu lưu được gửi giám định tại tổ chức kiểm nghiệm độc lập do hai Bên thống nhất lựa chọn; Bên có lỗi chịu chi phí giám định. Trường hợp lỗi thuộc Bên A, theo lựa chọn của Bên B, Bên A sản xuất lại hoặc đổi hàng trong vòng 15 ngày, hoặc hoàn trả tiền tương ứng; đồng thời chịu chi phí vận chuyển, thu hồi, tiêu hủy và bồi thường thiệt hại thực tế cho Bên B.
BỔ SUNG:
• Trường hợp sản phẩm phải thu hồi do lỗi nguyên liệu, công thức hoặc sản xuất của Bên A, Bên A chịu toàn bộ chi phí thu hồi, xử lý và bồi thường thiệt hại thực tế cho Bên B.
• Bên A lưu mẫu mỗi lô sản xuất đến hết hạn sử dụng cộng 12 tháng.</t>
        </is>
      </c>
      <c r="G35" s="8" t="inlineStr">
        <is>
          <t>Chất lượng</t>
        </is>
      </c>
      <c r="H35" s="12" t="inlineStr"/>
      <c r="I35" s="13" t="inlineStr"/>
      <c r="J35" s="12" t="inlineStr"/>
    </row>
    <row r="36" ht="54" customHeight="1">
      <c r="A36" s="8" t="n">
        <v>22</v>
      </c>
      <c r="B36" s="9" t="inlineStr">
        <is>
          <t>Điều 6 – An toàn thành phần</t>
        </is>
      </c>
      <c r="C36" s="10" t="inlineStr">
        <is>
          <t>Nghiên cứu và cung cấp thành phần sau khi ký hợp đồng các sản phẩm Hóa/Mỹ Phẩm cho Bên B phải đảm bảo an toàn cho người sử dụng.</t>
        </is>
      </c>
      <c r="D36" s="10" t="inlineStr">
        <is>
          <t>Bổ sung chuẩn tuân thủ cụ thể.</t>
        </is>
      </c>
      <c r="E36" s="11" t="inlineStr">
        <is>
          <t>Thông tư 06/2011/TT-BYT; Hiệp định mỹ phẩm ASEAN</t>
        </is>
      </c>
      <c r="F36" s="10" t="inlineStr">
        <is>
          <t>Nghiên cứu và cung cấp thành phần sau khi ký hợp đồng các sản phẩm Hóa/Mỹ Phẩm cho Bên B phải đảm bảo an toàn cho người sử dụng, tuân thủ quy định về chất cấm, chất có giới hạn theo Hiệp định mỹ phẩm ASEAN và pháp luật Việt Nam.</t>
        </is>
      </c>
      <c r="G36" s="8" t="inlineStr">
        <is>
          <t>Pháp lý</t>
        </is>
      </c>
      <c r="H36" s="12" t="inlineStr"/>
      <c r="I36" s="13" t="inlineStr"/>
      <c r="J36" s="12" t="inlineStr"/>
    </row>
    <row r="37" ht="310.5" customHeight="1">
      <c r="A37" s="8" t="n">
        <v>23</v>
      </c>
      <c r="B37" s="9" t="inlineStr">
        <is>
          <t>Điều 6 – Công bố sản phẩm &amp; PIF</t>
        </is>
      </c>
      <c r="C37" s="10" t="inlineStr">
        <is>
          <t>Bên A có nghĩa vụ hoàn thành việc công bố sản phẩm và Bên A cung cấp bản sao y cho Bên B.</t>
        </is>
      </c>
      <c r="D37" s="10" t="inlineStr">
        <is>
          <t>Không rõ ai đứng tên công bố, thời hạn nộp, quyền đối với số tiếp nhận; chưa có nghĩa vụ về PIF (tổ chức đứng tên công bố phải bảo đảm PIF sẵn sàng khi kiểm tra).</t>
        </is>
      </c>
      <c r="E37" s="11" t="inlineStr">
        <is>
          <t>Thông tư 06/2011/TT-BYT (công bố, PIF); NĐ 93/2016 (điều kiện sản xuất)</t>
        </is>
      </c>
      <c r="F37" s="10" t="inlineStr">
        <is>
          <t>Bên A có nghĩa vụ soạn thảo và hoàn thiện hồ sơ công bố sản phẩm, trong đó Bên B là tổ chức chịu trách nhiệm đưa sản phẩm ra thị trường và đứng tên trên Phiếu công bố, Bên A là nhà sản xuất; nộp hồ sơ tại cơ quan có thẩm quyền trong vòng 10 ngày làm việc kể từ ngày hai Bên ký xác nhận mẫu chốt; cung cấp bản sao hợp lệ Giấy chứng nhận đủ điều kiện sản xuất mỹ phẩm còn hiệu lực của Bên A; bàn giao cho Bên B Phiếu công bố đã được cấp số tiếp nhận trong vòng 02 ngày làm việc kể từ ngày nhận kết quả. Chi phí soạn hồ sơ đã bao gồm trong đơn giá; lệ phí nhà nước do Bên B nộp.
BỔ SUNG:
• Bên A lập đầy đủ Hồ sơ thông tin sản phẩm (PIF) theo quy định, bao gồm công thức định lượng, và bàn giao toàn bộ cho Bên B (bản giấy có đóng dấu và bản điện tử) cùng thời điểm bàn giao Phiếu công bố, để Bên B lưu giữ tại địa chỉ của Bên B theo quy định. Bên A đồng thời lưu giữ bản sao PIF tối thiểu 03 năm kể từ ngày lô sản phẩm cuối cùng được đưa ra thị trường và phối hợp giải trình khi cơ quan có thẩm quyền yêu cầu.
• Duy trì hiệu lực Giấy chứng nhận đủ điều kiện sản xuất mỹ phẩm trong suốt thời hạn hợp đồng và thông báo ngay cho Bên B nếu bị đình chỉ hoặc thu hồi.</t>
        </is>
      </c>
      <c r="G37" s="8" t="inlineStr">
        <is>
          <t>Pháp lý</t>
        </is>
      </c>
      <c r="H37" s="12" t="inlineStr"/>
      <c r="I37" s="13" t="inlineStr"/>
      <c r="J37" s="12" t="inlineStr"/>
    </row>
    <row r="38" ht="175.5" customHeight="1">
      <c r="A38" s="8" t="n">
        <v>24</v>
      </c>
      <c r="B38" s="9" t="inlineStr">
        <is>
          <t>Điều 6 – Chi phí phát sinh, tiêu chuẩn, mẫu chốt</t>
        </is>
      </c>
      <c r="C38" s="10" t="inlineStr">
        <is>
          <t>Trong quá trình sản xuất xảy ra vấn đề phát sinh ngoài đơn đặt hàng của Bên B, Bên A có trách nhiệm thông báo cho Bên B kèm theo chi phí phát sinh (nếu có).
Đảm bảo hàng hóa được sản xuất phải đúng tiêu chuẩn chất lượng đã công bố hoặc thống nhất cùng Bên B.
Bảo đảm hàng hóa phải đúng và ổn định chất lượng theo mẫu chốt sản xuất (Mẫu chốt và mẫu sản xuất giống nhau về ngoại quan từ 90% tùy từng sản phẩm do sự khác biệt giữa mẫu phòng nghiên cứu và khi lên bồn khuấy lớn nhưng vẫn đảm bảo chất lượng sản phẩm).</t>
        </is>
      </c>
      <c r="D38" s="10" t="inlineStr">
        <is>
          <t>“Giống mẫu chốt từ 90%” không đo lường được, không làm căn cứ nghiệm thu.</t>
        </is>
      </c>
      <c r="E38" s="11" t="inlineStr">
        <is>
          <t>Thỏa thuận chất lượng</t>
        </is>
      </c>
      <c r="F38" s="10" t="inlineStr">
        <is>
          <t>Trong quá trình sản xuất xảy ra vấn đề phát sinh ngoài đơn đặt hàng của Bên B, Bên A có trách nhiệm thông báo cho Bên B kèm theo chi phí phát sinh (nếu có); chi phí phát sinh chỉ được tính khi Bên B chấp thuận trước bằng văn bản.
Đảm bảo hàng hóa được sản xuất phải đúng tiêu chuẩn chất lượng đã công bố, Tiêu chuẩn cơ sở tại Phụ lục 02 và yêu cầu kỹ thuật tại Phụ lục 01.
Bảo đảm hàng hóa đúng và ổn định chất lượng theo mẫu chốt sản xuất và đạt toàn bộ chỉ tiêu của Tiêu chuẩn cơ sở tại Phụ lục 02.</t>
        </is>
      </c>
      <c r="G38" s="8" t="inlineStr">
        <is>
          <t>Chất lượng</t>
        </is>
      </c>
      <c r="H38" s="12" t="inlineStr"/>
      <c r="I38" s="13" t="inlineStr"/>
      <c r="J38" s="12" t="inlineStr"/>
    </row>
    <row r="39" ht="54" customHeight="1">
      <c r="A39" s="8" t="n">
        <v>25</v>
      </c>
      <c r="B39" s="9" t="inlineStr">
        <is>
          <t>Điều 6 – Bảo quản hàng của Bên B</t>
        </is>
      </c>
      <c r="C39" s="10" t="inlineStr">
        <is>
          <t>Bảo quản tốt mọi hàng hoá của Bên B trong kho Bên A về số lượng và chất lượng. Ngoại trừ trường hợp Bên B không thực hiện giao nhận đúng quy định Bên A.</t>
        </is>
      </c>
      <c r="D39" s="10" t="inlineStr">
        <is>
          <t>Ngoại lệ “không giao nhận đúng quy định Bên A” không rõ nội dung, có thể dùng để từ chối trách nhiệm.</t>
        </is>
      </c>
      <c r="E39" s="11" t="inlineStr">
        <is>
          <t>Luật Thương mại 2005 Điều 182; BLDS 2015 Điều 542–553</t>
        </is>
      </c>
      <c r="F39" s="10" t="inlineStr">
        <is>
          <t>Bảo quản tốt mọi hàng hoá của Bên B trong kho Bên A về số lượng và chất lượng. Bên A chịu trách nhiệm về mất mát, hư hỏng hàng hóa, bao bì, vật tư của Bên B trong thời gian lưu giữ tại kho Bên A.</t>
        </is>
      </c>
      <c r="G39" s="8" t="inlineStr">
        <is>
          <t>Vận hành</t>
        </is>
      </c>
      <c r="H39" s="12" t="inlineStr"/>
      <c r="I39" s="13" t="inlineStr"/>
      <c r="J39" s="12" t="inlineStr"/>
    </row>
    <row r="40" ht="202.5" customHeight="1">
      <c r="A40" s="8" t="n">
        <v>26</v>
      </c>
      <c r="B40" s="9" t="inlineStr">
        <is>
          <t>Điều 6 – Đối chiếu vật tư, thanh toán, lưu kho</t>
        </is>
      </c>
      <c r="C40" s="10" t="inlineStr">
        <is>
          <t>Bên A có trách nhiệm tổng kết, đối chiếu vật tư tiêu hao sau mỗi đơn hàng. Tỉ lệ hư hao bao bì dao động từ 3 - 10% tùy theo danh mục sản phẩm.
Được quyền yêu cầu Bên B thanh toán toàn bộ chi phí gia công, chi phí nguyên liệu và chi phí khác sử dụng cho thành phẩm của Bên B.
Được quyền yêu cầu Bên B vận chuyển những bao bì nguyên liệu vật tư dư thừa sau các đơn hàng đã gia công sản xuất khỏi kho Bên A nếu Bên B chưa có kế hoạch sản xuất. Trong trường hợp Bên B không vận chuyển khỏi kho Bên A trong vòng 15 ngày kể từ ngày sản xuất xong đơn hàng Bên A sẽ tính phí lưu kho của bao bì và nguyên liệu đó. Phí lưu kho 180.000 đ/m2/tháng (giá chưa bao gồm thuế GTGT).</t>
        </is>
      </c>
      <c r="D40" s="10" t="inlineStr">
        <is>
          <t>Hao hụt 3–10% mâu thuẫn định mức mới; phí lưu kho ghi đ/m² (Điều 6) nhưng đ/m³ (Điều 7); thời gian miễn phí chỉ 15 ngày.</t>
        </is>
      </c>
      <c r="E40" s="11" t="inlineStr">
        <is>
          <t>Thỏa thuận thương mại</t>
        </is>
      </c>
      <c r="F40" s="10" t="inlineStr">
        <is>
          <t>Bên A có trách nhiệm tổng kết, đối chiếu vật tư tiêu hao sau mỗi đơn hàng theo định mức hao hụt tại Điều 3 và hoàn trả bao bì, vật tư dư cho Bên B.
Được quyền yêu cầu Bên B thanh toán chi phí gia công, nguyên liệu theo đơn giá đã thỏa thuận và các chi phí khác đã được Bên B chấp thuận bằng văn bản.
Được quyền yêu cầu Bên B nhận lại bao bì, vật tư dư thừa sau mỗi đơn hàng nếu Bên B chưa có kế hoạch sản xuất. Bên A lưu kho miễn phí trong vòng 30 ngày kể từ ngày thông báo hoàn thành đơn hàng; sau thời hạn này, Bên A được tính phí lưu kho 180.000 đ/m³/tháng (chưa bao gồm thuế GTGT).</t>
        </is>
      </c>
      <c r="G40" s="8" t="inlineStr">
        <is>
          <t>Thương mại</t>
        </is>
      </c>
      <c r="H40" s="12" t="inlineStr"/>
      <c r="I40" s="13" t="inlineStr"/>
      <c r="J40" s="12" t="inlineStr"/>
    </row>
    <row r="41" ht="108" customHeight="1">
      <c r="A41" s="8" t="n">
        <v>27</v>
      </c>
      <c r="B41" s="9" t="inlineStr">
        <is>
          <t>Điều 6 – Thu hồi số công bố</t>
        </is>
      </c>
      <c r="C41" s="10" t="inlineStr">
        <is>
          <t>Trong thời hạn [15] ngày kể từ ngày nhận được yêu cầu, Bên B có trách nhiệm phản hồi về tình trạng tồn kho, lưu hành và kế hoạch sản xuất tiếp theo. Nếu không nhận được thông tin từ Bên B thì Bên A được quyền yêu cầu sở y tế thu hồi số phiếu Công bố sản phẩm Mỹ phẩm đối với những sản phẩm không sản xuất hoặc không tái sản xuất gia công tại Bên A. Bên B có trách nhiệm phối hợp thực hiện các thủ tục liên quan đến việc thu hồi hồ sơ công bố.</t>
        </is>
      </c>
      <c r="D41" s="10" t="inlineStr">
        <is>
          <t>Bên A được đơn phương yêu cầu thu hồi số công bố của Bên B » hàng đang lưu hành bị ảnh hưởng, mâu thuẫn Điều 7 (“số công bố thuộc quyền sở hữu của Bên B”).</t>
        </is>
      </c>
      <c r="E41" s="11" t="inlineStr">
        <is>
          <t>Thông tư 06/2011/TT-BYT; BLDS 2015 Điều 3 (thiện chí, trung thực)</t>
        </is>
      </c>
      <c r="F41" s="10" t="inlineStr">
        <is>
          <t>Trong thời hạn 15 ngày kể từ ngày nhận được yêu cầu, Bên B phản hồi về tình trạng lưu hành và kế hoạch sản xuất. Bên A không được tự ý yêu cầu cơ quan có thẩm quyền thu hồi, hủy hoặc thay đổi số tiếp nhận Phiếu công bố khi chưa có văn bản đồng ý của Bên B, trừ trường hợp theo yêu cầu của cơ quan nhà nước có thẩm quyền. Khi hợp đồng chấm dứt, Bên A phối hợp cung cấp các tài liệu cần thiết để Bên B thực hiện thủ tục công bố với nhà sản xuất khác nếu có nhu cầu.</t>
        </is>
      </c>
      <c r="G41" s="8" t="inlineStr">
        <is>
          <t>Pháp lý</t>
        </is>
      </c>
      <c r="H41" s="12" t="inlineStr"/>
      <c r="I41" s="13" t="inlineStr"/>
      <c r="J41" s="12" t="inlineStr"/>
    </row>
    <row r="42" ht="148.5" customHeight="1">
      <c r="A42" s="8" t="n">
        <v>28</v>
      </c>
      <c r="B42" s="9" t="inlineStr">
        <is>
          <t>Điều 6 – Bồi thường 50%</t>
        </is>
      </c>
      <c r="C42" s="10" t="inlineStr">
        <is>
          <t>Bên B tự ý sử dụng hồ sơ công bố sản phẩm của Bên A đi gia công/hợp tác với bên thứ ba là vi phạm nghiêm trọng hợp đồng. Bên A có quyền yêu cầu Bên B dừng lưu hành sản phẩm, cung cấp chứng từ truy xuất nguồn gốc và yêu cầu cơ quan nhà nước có thẩm quyền xử lý. Bên B phải chịu hoàn toàn trách nhiệm pháp lý trước Bên A, cơ quan pháp luật, cơ quan quản lý nhà nước. Bên B phải thanh toán toàn bộ tiền phạt về vi phạm hành chính, chi phí tiêu hủy/thu hồi/ truy xuất/ xử lí khiếu nại và chi phí phát sinh do hành vi vi phạm khác, đồng thời bồi thường thiệt hại 50% giá trị những đơn hàng đã gia công bên thứ 3 dưới mọi hình thức.</t>
        </is>
      </c>
      <c r="D42" s="10" t="inlineStr">
        <is>
          <t>Mức “bồi thường 50% giá trị đơn hàng bên thứ ba” là khoản ấn định, không gắn với thiệt hại thực tế. Bên B là chủ sở hữu công thức (Hợp đồng OEM) nên có quyền sản xuất tại đơn vị khác khi chấm dứt hợp tác, chỉ cần công bố mới đúng quy định.</t>
        </is>
      </c>
      <c r="E42" s="11" t="inlineStr">
        <is>
          <t>Luật Thương mại 2005 Điều 301–303</t>
        </is>
      </c>
      <c r="F42" s="10" t="inlineStr">
        <is>
          <t>Số tiếp nhận Phiếu công bố ghi Bên A là nhà sản xuất chỉ được dùng cho sản phẩm do Bên A sản xuất. Trường hợp Bên B chuyển sản xuất sang đơn vị khác, Bên B thực hiện công bố mới theo quy định và không lưu hành hàng do đơn vị khác sản xuất dưới số tiếp nhận ghi Bên A là nhà sản xuất. Vi phạm được xử lý theo điều khoản phạt vi phạm tại Điều 08 và bồi thường thiệt hại thực tế có chứng minh theo Điều 302, 303 Luật Thương mại 2005.</t>
        </is>
      </c>
      <c r="G42" s="8" t="inlineStr">
        <is>
          <t>Pháp lý</t>
        </is>
      </c>
      <c r="H42" s="12" t="inlineStr"/>
      <c r="I42" s="13" t="inlineStr"/>
      <c r="J42" s="12" t="inlineStr"/>
    </row>
    <row r="43" ht="94.5" customHeight="1">
      <c r="A43" s="8" t="n">
        <v>29</v>
      </c>
      <c r="B43" s="9" t="inlineStr">
        <is>
          <t>Điều 6 – Thanh lý, tiêu hủy hàng tồn</t>
        </is>
      </c>
      <c r="C43" s="10" t="inlineStr">
        <is>
          <t>Quá thời gian lưu kho Bên A sẽ phát hành văn bản yêu cầu Bên B nhận hàng. Sau 7 ngày làm việc kể từ ngày phát hành văn bản yêu cầu nhận hàng. Bên A có toàn quyền thanh lý đơn hàng của Bên B hoặc thành lập hội đồng tiêu hủy hoặc thanh lý thành phẩm và nguyên vật liệu dư thừa.</t>
        </is>
      </c>
      <c r="D43" s="10" t="inlineStr">
        <is>
          <t>Bên A “toàn quyền thanh lý” hàng mang nhãn hiệu Bên B chỉ sau 07 ngày » nguy cơ hàng trôi nổi thị trường, xâm phạm nhãn hiệu.</t>
        </is>
      </c>
      <c r="E43" s="11" t="inlineStr">
        <is>
          <t>Luật Sở hữu trí tuệ (quyền đối với nhãn hiệu)</t>
        </is>
      </c>
      <c r="F43" s="10" t="inlineStr">
        <is>
          <t>Quá thời hạn lưu kho miễn phí, Bên A gửi văn bản yêu cầu Bên B nhận hàng. Bên A không được bán, thanh lý hoặc chuyển giao cho bên thứ ba sản phẩm, bao bì mang nhãn hiệu của Bên B. Việc tiêu hủy chỉ được thực hiện sau 02 lần thông báo bằng văn bản cách nhau tối thiểu 15 ngày mà Bên B không phản hồi, có biên bản kiểm kê và có đại diện Bên B chứng kiến hoặc Bên B đồng ý bằng văn bản.</t>
        </is>
      </c>
      <c r="G43" s="8" t="inlineStr">
        <is>
          <t>Pháp lý</t>
        </is>
      </c>
      <c r="H43" s="12" t="inlineStr"/>
      <c r="I43" s="13" t="inlineStr"/>
      <c r="J43" s="12" t="inlineStr"/>
    </row>
    <row r="44" ht="108" customHeight="1">
      <c r="A44" s="8" t="n">
        <v>30</v>
      </c>
      <c r="B44" s="9" t="inlineStr">
        <is>
          <t>Điều 7 – Giấy tờ Bên B</t>
        </is>
      </c>
      <c r="C44" s="10" t="inlineStr">
        <is>
          <t>Cung cấp đầy đủ các giấy tờ có liên quan: Giấy phép kinh doanh, giấy quyền sở hữu thương hiệu do cục sở hữu trí tuệ cấp (Nếu có), giấy đăng ký tiêu chuẩn chất lượng hàng hóa (Nếu có), mỗi giấy tờ đều phải sao y thị thực trong những trường hợp kiểm kê cần thiết. Nếu không cung cấp được đầy đủ các giấy tờ trên thì Bên B chịu hoàn toàn trách nhiệm về mặt pháp lý. Bên A không chịu trách nhiệm về quyền sở hữu thương hiệu của Bên B.</t>
        </is>
      </c>
      <c r="D44" s="10" t="inlineStr">
        <is>
          <t>Nhãn hiệu đang trong thời gian thẩm định chỉ có đơn đăng ký.</t>
        </is>
      </c>
      <c r="E44" s="11" t="inlineStr">
        <is>
          <t>Luật Sở hữu trí tuệ</t>
        </is>
      </c>
      <c r="F44" s="10" t="inlineStr">
        <is>
          <t>Cung cấp đầy đủ các giấy tờ có liên quan: Giấy phép kinh doanh, giấy quyền sở hữu thương hiệu do Cục Sở hữu trí tuệ cấp hoặc đơn đăng ký nhãn hiệu (nếu có), giấy đăng ký tiêu chuẩn chất lượng hàng hóa (Nếu có), mỗi giấy tờ đều phải sao y thị thực trong những trường hợp kiểm kê cần thiết. Nếu không cung cấp được đầy đủ các giấy tờ trên thì Bên B chịu hoàn toàn trách nhiệm về mặt pháp lý. Bên A không chịu trách nhiệm về quyền sở hữu thương hiệu của Bên B.</t>
        </is>
      </c>
      <c r="G44" s="8" t="inlineStr">
        <is>
          <t>Pháp lý</t>
        </is>
      </c>
      <c r="H44" s="12" t="inlineStr"/>
      <c r="I44" s="13" t="inlineStr"/>
      <c r="J44" s="12" t="inlineStr"/>
    </row>
    <row r="45" ht="337.5" customHeight="1">
      <c r="A45" s="8" t="n">
        <v>31</v>
      </c>
      <c r="B45" s="9" t="inlineStr">
        <is>
          <t>Điều 7 – Lỗi bao bì, nhận hàng</t>
        </is>
      </c>
      <c r="C45" s="10" t="inlineStr">
        <is>
          <t>Khi Bên A có thông báo nguyên liệu, bao bì, hóa chất… do Bên B cung cấp bị lỗi, Bên B phải cử đại diện xuống nhà máy Bên A để kiểm tra đảm bảo chất lượng và không làm gián đoạn sản xuất.
Nhận hàng thành phẩm do Bên A giao và thu hồi phế liệu, vật tư thừa chưa dùng hết trong vòng 15 ngày kể từ ngày sản xuất hoàn thành nếu chưa có kế hoạch tiếp tục sản xuất hoặc thành phẩm vẫn còn lưu kho, nhưng không quá 30 ngày (trừ thỏa thuận khác bằng văn bản giữa hai Bên), Bên B phải thanh toán cho Bên A phí thuê kho là 180.000đ/ m3/ tháng (chưa bao gồm thuế GTGT).
Thanh toán đầy đủ các chi phí gia công, chi phí nguyên liệu và các chi phí khác liên quan đến thành phẩm được giao cho Bên B.
Thanh toán toàn bộ giá trị còn lại hợp đồng đối với thành phẩm còn lưu tại kho Bên A.
Trong trường hợp Bên B chậm trễ vận chuyển thành phẩm và nguyên vật liệu dư thừa ra khỏi kho của Bên A, thì Bên A sẽ lưu giữ thành phẩm và nguyên vật liệu dư thừa tại kho trong thời gian 15 ngày kể từ ngày hoàn tất thành phẩm (ngoại trừ có thỏa thuận khác).</t>
        </is>
      </c>
      <c r="D45" s="10" t="inlineStr">
        <is>
          <t>Bắt buộc Bên B (ở Hà Nội) xuống nhà máy; thời hạn lưu kho không thống nhất với Điều 6.</t>
        </is>
      </c>
      <c r="E45" s="11" t="inlineStr">
        <is>
          <t>Thỏa thuận vận hành</t>
        </is>
      </c>
      <c r="F45" s="10" t="inlineStr">
        <is>
          <t>Khi Bên A thông báo bằng văn bản (kèm biên bản, hình ảnh) bao bì, vật tư do Bên B cung cấp bị lỗi, Bên B cử đại diện kiểm tra trực tiếp hoặc xác nhận từ xa trong vòng 02 ngày làm việc để không làm gián đoạn sản xuất.
Nhận hàng thành phẩm do Bên A giao và nhận lại bao bì, vật tư dư trong thời hạn lưu kho miễn phí 30 ngày kể từ ngày Bên A thông báo hoàn thành; quá thời hạn này Bên B thanh toán phí lưu kho 180.000 đ/m³/tháng (chưa bao gồm thuế GTGT), trừ trường hợp hai Bên có thỏa thuận khác bằng văn bản.
Thanh toán đầy đủ các chi phí gia công, chi phí nguyên liệu và các chi phí khác đã được Bên B chấp thuận bằng văn bản liên quan đến thành phẩm được giao cho Bên B.
Thanh toán toàn bộ giá trị còn lại hợp đồng đối với thành phẩm đã được nghiệm thu đạt còn lưu tại kho Bên A.
Trong trường hợp Bên B chậm trễ vận chuyển thành phẩm và nguyên vật liệu dư thừa ra khỏi kho của Bên A, thì Bên A sẽ lưu giữ thành phẩm và nguyên vật liệu dư thừa tại kho trong thời gian 30 ngày kể từ ngày Bên A thông báo hoàn thành (ngoại trừ có thỏa thuận khác).</t>
        </is>
      </c>
      <c r="G45" s="8" t="inlineStr">
        <is>
          <t>Vận hành</t>
        </is>
      </c>
      <c r="H45" s="12" t="inlineStr"/>
      <c r="I45" s="13" t="inlineStr"/>
      <c r="J45" s="12" t="inlineStr"/>
    </row>
    <row r="46" ht="54" customHeight="1">
      <c r="A46" s="8" t="n">
        <v>32</v>
      </c>
      <c r="B46" s="9" t="inlineStr">
        <is>
          <t>Điều 7 – Quyền đối với số công bố</t>
        </is>
      </c>
      <c r="C46" s="10" t="inlineStr">
        <is>
          <t>Số công bố sản phẩm do Sở y tế cấp cho Bên B với thành phần do Bên A cung cấp sẽ được in ấn trên bao bì sản phẩm của Bên B, thuộc quyền sở hữu của Bên B trong suốt thời gian hiệu lực của số công bố.</t>
        </is>
      </c>
      <c r="D46" s="10" t="inlineStr">
        <is>
          <t>Làm rõ chủ thể đứng tên công bố, thống nhất với Điều 6.</t>
        </is>
      </c>
      <c r="E46" s="11" t="inlineStr">
        <is>
          <t>Thông tư 06/2011/TT-BYT</t>
        </is>
      </c>
      <c r="F46" s="10" t="inlineStr">
        <is>
          <t>Bên B là tổ chức chịu trách nhiệm đưa sản phẩm ra thị trường và đứng tên trên Phiếu công bố. Phiếu công bố và số tiếp nhận Phiếu công bố do cơ quan có thẩm quyền cấp thuộc quyền của Bên B.</t>
        </is>
      </c>
      <c r="G46" s="8" t="inlineStr">
        <is>
          <t>Pháp lý</t>
        </is>
      </c>
      <c r="H46" s="12" t="inlineStr"/>
      <c r="I46" s="13" t="inlineStr"/>
      <c r="J46" s="12" t="inlineStr"/>
    </row>
    <row r="47" ht="40.5" customHeight="1">
      <c r="A47" s="8" t="n">
        <v>33</v>
      </c>
      <c r="B47" s="9" t="inlineStr">
        <is>
          <t>Điều 7 – Tái sản xuất 6 tháng</t>
        </is>
      </c>
      <c r="C47" s="10" t="inlineStr">
        <is>
          <t>Thời gian tái sản xuất hàng trong vòng 6 tháng, nếu vượt quá thời gian tái sản xuất thì Bên B phải thông báo cho Bên A tình hình tái sản xuất để có kế hoạch cụ thể.</t>
        </is>
      </c>
      <c r="D47" s="10" t="inlineStr">
        <is>
          <t>Ràng buộc ngầm Bên B phải tái sản xuất trong 06 tháng.</t>
        </is>
      </c>
      <c r="E47" s="11" t="inlineStr">
        <is>
          <t>Thỏa thuận thương mại</t>
        </is>
      </c>
      <c r="F47" s="10" t="inlineStr">
        <is>
          <t>Hợp đồng không ràng buộc Bên B về sản lượng tối thiểu hay thời hạn tái sản xuất; Bên B thông báo kế hoạch đặt hàng tiếp theo (nếu có) để Bên A chuẩn bị.</t>
        </is>
      </c>
      <c r="G47" s="8" t="inlineStr">
        <is>
          <t>Thương mại</t>
        </is>
      </c>
      <c r="H47" s="12" t="inlineStr"/>
      <c r="I47" s="13" t="inlineStr"/>
      <c r="J47" s="12" t="inlineStr"/>
    </row>
    <row r="48" ht="54" customHeight="1">
      <c r="A48" s="8" t="n">
        <v>34</v>
      </c>
      <c r="B48" s="9" t="inlineStr">
        <is>
          <t>Điều 7 – Lưu hành hàng không do Bên A sản xuất</t>
        </is>
      </c>
      <c r="C48" s="10" t="inlineStr">
        <is>
          <t>Trường hợp Bên B thực hiện công bố sản phẩm nhưng hàng hóa không sản xuất tại Bên A, thì Bên B phải chịu hoàn toàn trách nhiệm trước Bên A, cơ quan pháp luật, cơ quan quản lý nhà nước liên quan.</t>
        </is>
      </c>
      <c r="D48" s="10" t="inlineStr">
        <is>
          <t>Giới hạn trách nhiệm đúng phạm vi hành vi.</t>
        </is>
      </c>
      <c r="E48" s="11" t="inlineStr">
        <is>
          <t>Thông tư 06/2011/TT-BYT</t>
        </is>
      </c>
      <c r="F48" s="10" t="inlineStr">
        <is>
          <t>Trường hợp Bên B lưu hành sản phẩm mang số tiếp nhận Phiếu công bố ghi Bên A là nhà sản xuất nhưng hàng hóa không do Bên A sản xuất, Bên B chịu trách nhiệm trước pháp luật đối với phần hàng hóa đó.</t>
        </is>
      </c>
      <c r="G48" s="8" t="inlineStr">
        <is>
          <t>Pháp lý</t>
        </is>
      </c>
      <c r="H48" s="12" t="inlineStr"/>
      <c r="I48" s="13" t="inlineStr"/>
      <c r="J48" s="12" t="inlineStr"/>
    </row>
    <row r="49" ht="229.5" customHeight="1">
      <c r="A49" s="8" t="n">
        <v>35</v>
      </c>
      <c r="B49" s="9" t="inlineStr">
        <is>
          <t>Điều 7 – Đơn phương hủy HĐ (phạt 20%)</t>
        </is>
      </c>
      <c r="C49" s="10" t="inlineStr">
        <is>
          <t>Trong trường hợp Bên B đơn phương hủy bỏ hợp đồng khi Bên A đã lên kế hoạch về nguyên liệu chuẩn bị sản xuất hoặc đã sản xuất, Bên B vẫn phải trả toàn bộ chi phí đơn hàng cho Bên A và cộng thêm 20%/ tổng giá trị hợp đồng tiền phạt do vi phạm hợp đồng.</t>
        </is>
      </c>
      <c r="D49" s="10" t="inlineStr">
        <is>
          <t>Phạt 20% tổng giá trị hợp đồng vượt mức trần 8%; chỉ áp dụng một chiều với Bên B.</t>
        </is>
      </c>
      <c r="E49" s="11" t="inlineStr">
        <is>
          <t>Luật Thương mại 2005 Điều 301 (mức phạt tối đa 8%), Điều 302–303; Điều 181 (quyền kiểm tra của bên đặt gia công)</t>
        </is>
      </c>
      <c r="F49" s="10" t="inlineStr">
        <is>
          <t>Trường hợp Bên B đơn phương hủy bỏ hợp đồng không do lỗi của Bên A và không thuộc trường hợp bất khả kháng, Bên B thanh toán cho Bên A các chi phí thực tế hợp lý đã phát sinh có chứng từ (nguyên liệu đã mua riêng cho đơn hàng, bán thành phẩm đã sản xuất) và chịu phạt vi phạm tối đa 8% giá trị phần nghĩa vụ hợp đồng bị vi phạm. Trường hợp Bên A đơn phương hủy bỏ hợp đồng không do lỗi của Bên B và không thuộc trường hợp bất khả kháng, Bên A hoàn trả toàn bộ số tiền Bên B đã thanh toán trong vòng 05 ngày làm việc, chịu phạt vi phạm tối đa 8% giá trị phần nghĩa vụ bị vi phạm và bồi thường thiệt hại thực tế cho Bên B.
BỔ SUNG:
• Được quyền kiểm tra nhà máy, quy trình sản xuất liên quan đến sản phẩm với thông báo trước 05 ngày làm việc; được từ chối nhận sản phẩm không đạt Tiêu chuẩn cơ sở hoặc không đồng nhất với mẫu chốt.</t>
        </is>
      </c>
      <c r="G49" s="8" t="inlineStr">
        <is>
          <t>Pháp lý</t>
        </is>
      </c>
      <c r="H49" s="12" t="inlineStr"/>
      <c r="I49" s="13" t="inlineStr"/>
      <c r="J49" s="12" t="inlineStr"/>
    </row>
    <row r="50" ht="54" customHeight="1">
      <c r="A50" s="8" t="n">
        <v>36</v>
      </c>
      <c r="B50" s="9" t="inlineStr">
        <is>
          <t>Điều 8 – Kênh trao đổi</t>
        </is>
      </c>
      <c r="C50" s="10" t="inlineStr">
        <is>
          <t>Việc thảo luận giải quyết các vấn đề phát sinh, các sự cố liên quan lúc thực hiện hợp đồng phải được xác nhận bằng gmail hoặc văn bản giữa hai Bên.</t>
        </is>
      </c>
      <c r="D50" s="10" t="inlineStr">
        <is>
          <t>Xác định địa chỉ email chính thức có giá trị xác nhận.</t>
        </is>
      </c>
      <c r="E50" s="11" t="inlineStr">
        <is>
          <t>Luật Giao dịch điện tử 2023</t>
        </is>
      </c>
      <c r="F50" s="10" t="inlineStr">
        <is>
          <t>Việc thảo luận giải quyết các vấn đề phát sinh, các sự cố liên quan lúc thực hiện hợp đồng phải được xác nhận bằng email (Bên B: info@dosiecare.com; Bên A: [●]) hoặc văn bản giữa hai Bên.</t>
        </is>
      </c>
      <c r="G50" s="8" t="inlineStr">
        <is>
          <t>Vận hành</t>
        </is>
      </c>
      <c r="H50" s="12" t="inlineStr"/>
      <c r="I50" s="13" t="inlineStr"/>
      <c r="J50" s="12" t="inlineStr"/>
    </row>
    <row r="51" ht="310.5" customHeight="1">
      <c r="A51" s="8" t="n">
        <v>37</v>
      </c>
      <c r="B51" s="9" t="inlineStr">
        <is>
          <t>Điều 8 – Bảo mật &amp; sở hữu trí tuệ, phạt vi phạm</t>
        </is>
      </c>
      <c r="C51" s="10" t="inlineStr">
        <is>
          <t>Hợp đồng thực hiện giữa 2 Bên phải tuyệt đối bảo mật. Không dùng nội dung hoặc một phần nội dung của hợp đồng để thực hiện bất cứ giao dịch nào hoặc với cơ quan, cá nhân nào khác. Trừ khi có lệnh của tòa án liên quan đến sản phẩm hay giao dịch này.</t>
        </is>
      </c>
      <c r="D51" s="10" t="inlineStr">
        <is>
          <t>Bảo mật chung chung, không thời hạn; chưa bảo vệ nhãn hiệu, thiết kế và công thức thuộc sở hữu của Bên B; chưa có điều khoản phạt vi phạm chung đúng luật.</t>
        </is>
      </c>
      <c r="E51" s="11" t="inlineStr">
        <is>
          <t>Luật Thương mại 2005 Điều 301–303; Luật Sở hữu trí tuệ</t>
        </is>
      </c>
      <c r="F51" s="10" t="inlineStr">
        <is>
          <t>Hai Bên có nghĩa vụ bảo mật nội dung Hợp đồng và mọi thông tin kỹ thuật, thương mại nhận được từ Bên kia, trừ trường hợp cung cấp cho cơ quan nhà nước có thẩm quyền theo quy định pháp luật hoặc phục vụ thủ tục công bố sản phẩm. Nhãn hiệu, tên sản phẩm, thiết kế bao bì và thông tin khách hàng của Bên B thuộc quyền sở hữu của Bên B. Công thức LOT 26I261 và Hồ sơ công thức thuộc quyền sở hữu của Bên B theo Điều 1; Bên A không được sản xuất, chuyển giao hoặc cung cấp cho bên thứ ba sản phẩm sử dụng công thức này hoặc công thức gần như đồng nhất, kể cả sau khi Hợp đồng chấm dứt. Nghĩa vụ bảo mật có hiệu lực trong thời hạn hợp đồng và 03 năm sau khi hợp đồng chấm dứt.
BỔ SUNG:
• Phạt vi phạm và bồi thường thiệt hại: Bên vi phạm nghĩa vụ hợp đồng chịu phạt vi phạm theo thỏa thuận tại Hợp đồng này, tổng mức phạt không vượt quá 8% giá trị phần nghĩa vụ hợp đồng bị vi phạm theo Điều 301 Luật Thương mại 2005, và bồi thường thiệt hại thực tế phát sinh theo Điều 302, 303 Luật Thương mại 2005. Vi phạm nghĩa vụ bảo mật, nghĩa vụ về công thức thuộc sở hữu của Bên B, nghĩa vụ không thu hồi số công bố hoặc nghĩa vụ không thanh lý hàng mang nhãn hiệu của Bên B: phạt 8% giá trị hợp đồng và bồi thường toàn bộ thiệt hại thực tế.</t>
        </is>
      </c>
      <c r="G51" s="8" t="inlineStr">
        <is>
          <t>Pháp lý</t>
        </is>
      </c>
      <c r="H51" s="12" t="inlineStr"/>
      <c r="I51" s="13" t="inlineStr"/>
      <c r="J51" s="12" t="inlineStr"/>
    </row>
    <row r="52" ht="81" customHeight="1">
      <c r="A52" s="8" t="n">
        <v>38</v>
      </c>
      <c r="B52" s="9" t="inlineStr">
        <is>
          <t>Điều 8 – Giải quyết tranh chấp</t>
        </is>
      </c>
      <c r="C52" s="10" t="inlineStr">
        <is>
          <t>Trường hợp hai Bên không thống nhất và không giải quyết được thì Tòa án kinh tế Tp. HCM sẽ giải quyết. Bên thua kiện sẽ chịu hoàn toàn án phí. Chi phí về kiểm tra, xác minh và lệ phí toà án do Bên nào có lỗi chịu trách nhiệm.</t>
        </is>
      </c>
      <c r="D52" s="10" t="inlineStr">
        <is>
          <t>Không có cơ quan tên “Tòa án kinh tế Tp. HCM”; ghi sai tên cơ quan dễ phát sinh tranh cãi về thẩm quyền.</t>
        </is>
      </c>
      <c r="E52" s="11" t="inlineStr">
        <is>
          <t>Bộ luật Tố tụng dân sự 2015 (thẩm quyền Tòa án)</t>
        </is>
      </c>
      <c r="F52" s="10" t="inlineStr">
        <is>
          <t>Mọi tranh chấp phát sinh được giải quyết trước hết bằng thương lượng trong vòng 30 ngày kể từ ngày một Bên gửi văn bản yêu cầu. Nếu thương lượng không thành, tranh chấp được giải quyết tại Tòa án nhân dân có thẩm quyền theo quy định của pháp luật Việt Nam. Án phí và chi phí giám định do Bên thua kiện chịu, trừ trường hợp Tòa án có quyết định khác.</t>
        </is>
      </c>
      <c r="G52" s="8" t="inlineStr">
        <is>
          <t>Pháp lý</t>
        </is>
      </c>
      <c r="H52" s="12" t="inlineStr"/>
      <c r="I52" s="13" t="inlineStr"/>
      <c r="J52" s="12" t="inlineStr"/>
    </row>
    <row r="53" ht="94.5" customHeight="1">
      <c r="A53" s="8" t="n">
        <v>39</v>
      </c>
      <c r="B53" s="9" t="inlineStr">
        <is>
          <t>Điều 9 – Bất khả kháng kéo dài</t>
        </is>
      </c>
      <c r="C53" s="10" t="inlineStr">
        <is>
          <t>Nếu Sự kiện Bất khả kháng ngăn cản một Bên thực hiện nghĩa vụ của mình trong thời gian 30 (ba mươi) ngày liên tục, khi đó, việc thực hiện nghĩa vụ theo Hợp đồng này sẽ do hai Bên thỏa thuận.</t>
        </is>
      </c>
      <c r="D53" s="10" t="inlineStr">
        <is>
          <t>Chưa có lối ra khi bất khả kháng kéo dài.</t>
        </is>
      </c>
      <c r="E53" s="11" t="inlineStr">
        <is>
          <t>BLDS 2015 Điều 156; Luật Thương mại 2005 Điều 294–296</t>
        </is>
      </c>
      <c r="F53" s="10" t="inlineStr">
        <is>
          <t>Nếu Sự kiện Bất khả kháng ngăn cản một Bên thực hiện nghĩa vụ của mình trong thời gian 30 (ba mươi) ngày liên tục, khi đó, việc thực hiện nghĩa vụ theo Hợp đồng này sẽ do hai Bên thỏa thuận; nếu không thỏa thuận được, mỗi Bên có quyền đơn phương chấm dứt Hợp đồng bằng văn bản mà không phải chịu phạt, hai Bên quyết toán phần công việc đã thực hiện và Bên A hoàn trả số tiền Bên B đã thanh toán cho phần chưa thực hiện.</t>
        </is>
      </c>
      <c r="G53" s="8" t="inlineStr">
        <is>
          <t>Pháp lý</t>
        </is>
      </c>
      <c r="H53" s="12" t="inlineStr"/>
      <c r="I53" s="13" t="inlineStr"/>
      <c r="J53" s="12" t="inlineStr"/>
    </row>
    <row r="54" ht="121.5" customHeight="1">
      <c r="A54" s="8" t="n">
        <v>40</v>
      </c>
      <c r="B54" s="9" t="inlineStr">
        <is>
          <t>Điều 10 – Số bản, phụ lục</t>
        </is>
      </c>
      <c r="C54" s="10" t="inlineStr">
        <is>
          <t>Hợp đồng được lập thành 02 (hai) bản, có nội dung như nhau, mỗi Bên giữ 01 (một) bản có hiệu lực từ ngày ký.</t>
        </is>
      </c>
      <c r="D54" s="10" t="inlineStr">
        <is>
          <t>Bên B cần thêm bản hợp đồng cho hồ sơ công bố; bổ sung danh mục phụ lục.</t>
        </is>
      </c>
      <c r="E54" s="11" t="inlineStr">
        <is>
          <t>Thông tư 06/2011/TT-BYT (hồ sơ công bố cần bản sao hợp đồng)</t>
        </is>
      </c>
      <c r="F54" s="10" t="inlineStr">
        <is>
          <t>Hợp đồng được lập thành 04 (bốn) bản, có nội dung và giá trị pháp lý như nhau, mỗi Bên giữ 02 (hai) bản.
BỔ SUNG:
• Các Phụ lục kèm theo là bộ phận không tách rời của Hợp đồng: Phụ lục 01 – Yêu cầu kỹ thuật công thức; Phụ lục 02 – Tiêu chuẩn cơ sở và tiêu chí nghiệm thu; Phụ lục 03 – Cấu thành đơn giá, bao bì và định mức hao hụt.</t>
        </is>
      </c>
      <c r="G54" s="8" t="inlineStr">
        <is>
          <t>Vận hành</t>
        </is>
      </c>
      <c r="H54" s="12" t="inlineStr"/>
      <c r="I54" s="13" t="inlineStr"/>
      <c r="J54" s="12" t="inlineStr"/>
    </row>
    <row r="56">
      <c r="A56" s="14" t="inlineStr">
        <is>
          <t>KẾT LUẬN</t>
        </is>
      </c>
    </row>
    <row r="57" ht="30" customHeight="1">
      <c r="A57" s="15" t="inlineStr">
        <is>
          <t>1.</t>
        </is>
      </c>
      <c r="B57" s="5">
        <f>"Số nội dung đã thống nhất: "&amp;(COUNTIF(I15:I54,"Đồng ý")+COUNTIF(I15:I54,"Đồng ý có sửa đổi"))&amp;" / 40; chưa thống nhất: "&amp;COUNTIF(I15:I54,"Chưa thống nhất")</f>
        <v/>
      </c>
    </row>
    <row r="58" ht="30" customHeight="1">
      <c r="A58" s="15" t="inlineStr">
        <is>
          <t>2.</t>
        </is>
      </c>
      <c r="B58" s="5" t="inlineStr">
        <is>
          <t>Thành phần chủ chốt (sheet “Yeu cau ky thuat”): Bên A xác nhận công thức LOT 26I261 đáp ứng khoảng hàm lượng trong đơn giá 59.800 đ/hộp đã báo, không tăng giá. Sau khi ký Hợp đồng OEM, Bên A bàn giao Hồ sơ công thức đầy đủ cho Bên B theo Phụ lục 01 mục D.</t>
        </is>
      </c>
    </row>
    <row r="59" ht="30" customHeight="1">
      <c r="A59" s="15" t="inlineStr">
        <is>
          <t>3.</t>
        </is>
      </c>
      <c r="B59" s="5" t="inlineStr">
        <is>
          <t>Nội dung chưa thống nhất: hai Bên phản hồi bằng văn bản/email trước ngày …… /10/2026.</t>
        </is>
      </c>
    </row>
    <row r="60" ht="30" customHeight="1">
      <c r="A60" s="15" t="inlineStr">
        <is>
          <t>4.</t>
        </is>
      </c>
      <c r="B60" s="5" t="inlineStr">
        <is>
          <t>Bên A chấp nhận các thay đổi đã thống nhất trên file Track Changes và gửi bản hợp đồng hoàn chỉnh; dự kiến ký ngày …… /…… /2026.</t>
        </is>
      </c>
    </row>
    <row r="61" ht="30" customHeight="1">
      <c r="A61" s="15" t="inlineStr">
        <is>
          <t>5.</t>
        </is>
      </c>
      <c r="B61" s="5" t="inlineStr">
        <is>
          <t>Biên bản này là căn cứ hoàn thiện hợp đồng, không thay thế hợp đồng chính thức.</t>
        </is>
      </c>
    </row>
    <row r="63">
      <c r="A63" s="16" t="inlineStr">
        <is>
          <t>ĐẠI DIỆN BÊN A – SHIZENCOS</t>
        </is>
      </c>
      <c r="F63" s="16" t="inlineStr">
        <is>
          <t>ĐẠI DIỆN BÊN B – DS CORPORATION</t>
        </is>
      </c>
    </row>
    <row r="64">
      <c r="A64" s="17" t="inlineStr">
        <is>
          <t>(Ký, ghi rõ họ tên)</t>
        </is>
      </c>
      <c r="F64" s="17" t="inlineStr">
        <is>
          <t>(Ký, ghi rõ họ tên)</t>
        </is>
      </c>
    </row>
  </sheetData>
  <mergeCells count="20">
    <mergeCell ref="F64:J64"/>
    <mergeCell ref="B11:J11"/>
    <mergeCell ref="B61:J61"/>
    <mergeCell ref="B60:J60"/>
    <mergeCell ref="F63:J63"/>
    <mergeCell ref="A1:E1"/>
    <mergeCell ref="A4:J4"/>
    <mergeCell ref="B8:J8"/>
    <mergeCell ref="B57:J57"/>
    <mergeCell ref="A63:D63"/>
    <mergeCell ref="B10:J10"/>
    <mergeCell ref="A64:D64"/>
    <mergeCell ref="B9:J9"/>
    <mergeCell ref="B6:J6"/>
    <mergeCell ref="B12:J12"/>
    <mergeCell ref="B7:J7"/>
    <mergeCell ref="B59:J59"/>
    <mergeCell ref="A3:J3"/>
    <mergeCell ref="F1:J1"/>
    <mergeCell ref="B58:J58"/>
  </mergeCells>
  <conditionalFormatting sqref="I15:I54">
    <cfRule type="cellIs" priority="1" operator="equal" dxfId="0">
      <formula>"Đồng ý"</formula>
    </cfRule>
    <cfRule type="cellIs" priority="2" operator="equal" dxfId="1">
      <formula>"Đồng ý có sửa đổi"</formula>
    </cfRule>
    <cfRule type="cellIs" priority="3" operator="equal" dxfId="2">
      <formula>"Chưa thống nhất"</formula>
    </cfRule>
  </conditionalFormatting>
  <dataValidations count="1">
    <dataValidation sqref="I15:I54" showDropDown="0" showInputMessage="0" showErrorMessage="0" allowBlank="1" type="list">
      <formula1>"Đồng ý,Đồng ý có sửa đổi,Chưa thống nhất"</formula1>
    </dataValidation>
  </dataValidations>
  <pageMargins left="0.4" right="0.4"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J55"/>
  <sheetViews>
    <sheetView workbookViewId="0">
      <pane ySplit="3" topLeftCell="A4" activePane="bottomLeft" state="frozen"/>
      <selection pane="bottomLeft" activeCell="A1" sqref="A1"/>
    </sheetView>
  </sheetViews>
  <sheetFormatPr baseColWidth="8" defaultRowHeight="15"/>
  <cols>
    <col width="7" customWidth="1" min="1" max="1"/>
    <col width="22" customWidth="1" min="2" max="2"/>
    <col width="32" customWidth="1" min="3" max="3"/>
    <col width="28" customWidth="1" min="4" max="4"/>
    <col width="10" customWidth="1" min="5" max="5"/>
    <col width="13" customWidth="1" min="6" max="6"/>
    <col width="9" customWidth="1" min="7" max="7"/>
    <col width="46" customWidth="1" min="8" max="8"/>
    <col width="20" customWidth="1" min="9" max="9"/>
    <col width="30" customWidth="1" min="10" max="10"/>
  </cols>
  <sheetData>
    <row r="1" ht="26.6" customHeight="1">
      <c r="A1" s="18" t="inlineStr">
        <is>
          <t>PHỤ LỤC 01 – YÊU CẦU KỸ THUẬT THÀNH PHẦN CHỦ CHỐT</t>
        </is>
      </c>
    </row>
    <row r="2" ht="58" customHeight="1">
      <c r="A2" s="19" t="inlineStr">
        <is>
          <t>Giai đoạn đàm phán: Bên B hiểu Bên A chưa thể công khai tỷ lệ công thức. Bên B mong muốn Bên A xác nhận 08 thành phần chủ chốt của công thức V3 nằm trong khoảng [Tối thiểu – Trần] để có tác dụng tương đương sản phẩm tham chiếu, cùng các giới hạn an toàn, TRONG ĐƠN GIÁ 59.800 đ/hộp đã báo (không tăng giá). Bên A chỉ cần chọn “Cam kết đạt” hoặc ghi giải trình. Sau khi ký Hợp đồng OEM, Bên A bàn giao Hồ sơ công thức đầy đủ theo Phụ lục 01 mục D (xem mục F).</t>
        </is>
      </c>
    </row>
    <row r="4">
      <c r="A4" s="14" t="inlineStr">
        <is>
          <t>A. THÀNH PHẦN CHỦ CHỐT</t>
        </is>
      </c>
    </row>
    <row r="5">
      <c r="A5" s="7" t="inlineStr">
        <is>
          <t>STT V3</t>
        </is>
      </c>
      <c r="B5" s="7" t="inlineStr">
        <is>
          <t>Thành phần</t>
        </is>
      </c>
      <c r="C5" s="7" t="inlineStr">
        <is>
          <t>INCI</t>
        </is>
      </c>
      <c r="D5" s="7" t="inlineStr">
        <is>
          <t>Công dụng định hướng</t>
        </is>
      </c>
      <c r="E5" s="7" t="inlineStr">
        <is>
          <t>Tối thiểu (%)</t>
        </is>
      </c>
      <c r="F5" s="7" t="inlineStr">
        <is>
          <t>Khuyến nghị (%)</t>
        </is>
      </c>
      <c r="G5" s="7" t="inlineStr">
        <is>
          <t>Trần (%)</t>
        </is>
      </c>
      <c r="H5" s="7" t="inlineStr">
        <is>
          <t>Căn cứ / đối chiếu sản phẩm tham chiếu</t>
        </is>
      </c>
      <c r="I5" s="7" t="inlineStr">
        <is>
          <t>Xác nhận Bên A</t>
        </is>
      </c>
      <c r="J5" s="7" t="inlineStr">
        <is>
          <t>Giải trình</t>
        </is>
      </c>
    </row>
    <row r="6" ht="75" customHeight="1">
      <c r="A6" s="8" t="n">
        <v>8</v>
      </c>
      <c r="B6" s="10" t="inlineStr">
        <is>
          <t>Dầu me rừng (Amla oil)</t>
        </is>
      </c>
      <c r="C6" s="10" t="inlineStr">
        <is>
          <t>Phyllanthus Emblica Fruit Extract (+ dầu nền theo COA)</t>
        </is>
      </c>
      <c r="D6" s="10" t="inlineStr">
        <is>
          <t>1. Nuôi dưỡng da đầu – chân tóc</t>
        </is>
      </c>
      <c r="E6" s="20" t="inlineStr">
        <is>
          <t>3,0</t>
        </is>
      </c>
      <c r="F6" s="8" t="inlineStr">
        <is>
          <t>3,0 – 5,0</t>
        </is>
      </c>
      <c r="G6" s="20" t="inlineStr">
        <is>
          <t>8,0</t>
        </is>
      </c>
      <c r="H6" s="10" t="inlineStr">
        <is>
          <t>Tham chiếu: Emblica Officinalis Fruit Extract 0,80. Lượng amla thực tế đưa vào phải ≥ mức benchmark (0,8% chiết xuất). “Amla oil” thường là chiết xuất pha loãng trong dầu nền nên cần ≥ 3%; nếu là dạng đậm đặc, Shizencos quy đổi theo COA.</t>
        </is>
      </c>
      <c r="I6" s="13" t="inlineStr"/>
      <c r="J6" s="12" t="inlineStr"/>
    </row>
    <row r="7" ht="75" customHeight="1">
      <c r="A7" s="8" t="n">
        <v>12</v>
      </c>
      <c r="B7" s="10" t="inlineStr">
        <is>
          <t>BAKUCHIOL 99%</t>
        </is>
      </c>
      <c r="C7" s="10" t="inlineStr">
        <is>
          <t>Bakuchiol</t>
        </is>
      </c>
      <c r="D7" s="10" t="inlineStr">
        <is>
          <t>1. Nuôi dưỡng da đầu – chống oxy hóa, tái tạo</t>
        </is>
      </c>
      <c r="E7" s="20" t="inlineStr">
        <is>
          <t>0,5</t>
        </is>
      </c>
      <c r="F7" s="8" t="inlineStr">
        <is>
          <t>0,5 – 0,8</t>
        </is>
      </c>
      <c r="G7" s="20" t="inlineStr">
        <is>
          <t>1,0</t>
        </is>
      </c>
      <c r="H7" s="10" t="inlineStr">
        <is>
          <t>Tham chiếu: Psoralea Corylifolia Seed Extract 0,20. 0,5% là mức thấp nhất có dữ liệu hiệu quả trên da; benchmark chỉ dùng chiết xuất thô 0,2%. Đây là hoạt chất đắt nhất – mức 0,5% đủ vượt benchmark mà không đẩy giá.</t>
        </is>
      </c>
      <c r="I7" s="13" t="inlineStr"/>
      <c r="J7" s="12" t="inlineStr"/>
    </row>
    <row r="8" ht="75" customHeight="1">
      <c r="A8" s="8" t="n">
        <v>14</v>
      </c>
      <c r="B8" s="10" t="inlineStr">
        <is>
          <t>Tinh dầu hương thảo</t>
        </is>
      </c>
      <c r="C8" s="10" t="inlineStr">
        <is>
          <t>Rosmarinus Officinalis (Rosemary) Leaf Oil</t>
        </is>
      </c>
      <c r="D8" s="10" t="inlineStr">
        <is>
          <t>1. Kích thích tuần hoàn, cảm giác da đầu khỏe</t>
        </is>
      </c>
      <c r="E8" s="20" t="inlineStr">
        <is>
          <t>0,5</t>
        </is>
      </c>
      <c r="F8" s="8" t="inlineStr">
        <is>
          <t>0,8 – 1,0</t>
        </is>
      </c>
      <c r="G8" s="20" t="inlineStr">
        <is>
          <t>1,5</t>
        </is>
      </c>
      <c r="H8" s="10" t="inlineStr">
        <is>
          <t>Tham chiếu: Rosemary Leaf Extract 0,35. Dạng tinh dầu ≥ 0,5% đã mạnh hơn chiết xuất 0,35% của benchmark; trên 1,5% mùi long não gắt, dễ kích ứng.</t>
        </is>
      </c>
      <c r="I8" s="13" t="inlineStr"/>
      <c r="J8" s="12" t="inlineStr"/>
    </row>
    <row r="9" ht="75" customHeight="1">
      <c r="A9" s="8" t="n">
        <v>18</v>
      </c>
      <c r="B9" s="10" t="inlineStr">
        <is>
          <t>Tinh dầu tràm trà</t>
        </is>
      </c>
      <c r="C9" s="10" t="inlineStr">
        <is>
          <t>Melaleuca Alternifolia (Tea Tree) Leaf Oil</t>
        </is>
      </c>
      <c r="D9" s="10" t="inlineStr">
        <is>
          <t>4. Cân bằng vi sinh, giảm bong vảy</t>
        </is>
      </c>
      <c r="E9" s="20" t="inlineStr">
        <is>
          <t>0,5</t>
        </is>
      </c>
      <c r="F9" s="8" t="inlineStr">
        <is>
          <t>0,5 – 0,8</t>
        </is>
      </c>
      <c r="G9" s="20" t="inlineStr">
        <is>
          <t>1,0</t>
        </is>
      </c>
      <c r="H9" s="10" t="inlineStr">
        <is>
          <t>Tham chiếu: Basil / Holy Basil / Neem (vai trò tương đương). Dưới 0,5% gần như chỉ còn tác dụng hương; trên 1% tăng nguy cơ kích ứng khi ủ 15–40 phút.</t>
        </is>
      </c>
      <c r="I9" s="13" t="inlineStr"/>
      <c r="J9" s="12" t="inlineStr"/>
    </row>
    <row r="10" ht="75" customHeight="1">
      <c r="A10" s="8" t="n">
        <v>10</v>
      </c>
      <c r="B10" s="10" t="inlineStr">
        <is>
          <t>Dầu Neem</t>
        </is>
      </c>
      <c r="C10" s="10" t="inlineStr">
        <is>
          <t>Azadirachta Indica Seed Oil</t>
        </is>
      </c>
      <c r="D10" s="10" t="inlineStr">
        <is>
          <t>4. Làm dịu, cân bằng vi sinh</t>
        </is>
      </c>
      <c r="E10" s="20" t="inlineStr">
        <is>
          <t>0,3</t>
        </is>
      </c>
      <c r="F10" s="8" t="inlineStr">
        <is>
          <t>0,3 – 0,5</t>
        </is>
      </c>
      <c r="G10" s="20" t="inlineStr">
        <is>
          <t>0,7</t>
        </is>
      </c>
      <c r="H10" s="10" t="inlineStr">
        <is>
          <t>Tham chiếu: Melia Azadirachta (lá/hoa/extract) tổng 0,58. Tương đương tổng Neem của benchmark; trên 0,7% mùi tỏi–lưu huỳnh lấn át hương.</t>
        </is>
      </c>
      <c r="I10" s="13" t="inlineStr"/>
      <c r="J10" s="12" t="inlineStr"/>
    </row>
    <row r="11" ht="75" customHeight="1">
      <c r="A11" s="8" t="n">
        <v>11</v>
      </c>
      <c r="B11" s="10" t="inlineStr">
        <is>
          <t>Dầu chùm ngây</t>
        </is>
      </c>
      <c r="C11" s="10" t="inlineStr">
        <is>
          <t>Moringa Oleifera Seed Oil</t>
        </is>
      </c>
      <c r="D11" s="10" t="inlineStr">
        <is>
          <t>3. Bảo vệ màng lipid trước gội</t>
        </is>
      </c>
      <c r="E11" s="20" t="inlineStr">
        <is>
          <t>0,75</t>
        </is>
      </c>
      <c r="F11" s="8" t="inlineStr">
        <is>
          <t>1,0 – 2,0</t>
        </is>
      </c>
      <c r="G11" s="20" t="inlineStr">
        <is>
          <t>3,0</t>
        </is>
      </c>
      <c r="H11" s="10" t="inlineStr">
        <is>
          <t>Tham chiếu: Moringa Oleifera Seed Oil 0,75. Tối thiểu bằng benchmark; dầu bền oxy hóa, giá thấp.</t>
        </is>
      </c>
      <c r="I11" s="13" t="inlineStr"/>
      <c r="J11" s="12" t="inlineStr"/>
    </row>
    <row r="12" ht="75" customHeight="1">
      <c r="A12" s="8" t="n">
        <v>20</v>
      </c>
      <c r="B12" s="10" t="inlineStr">
        <is>
          <t>Bisabolol</t>
        </is>
      </c>
      <c r="C12" s="10" t="inlineStr">
        <is>
          <t>Bisabolol</t>
        </is>
      </c>
      <c r="D12" s="10" t="inlineStr">
        <is>
          <t>4. Làm dịu, giảm châm chích của tinh dầu</t>
        </is>
      </c>
      <c r="E12" s="20" t="inlineStr">
        <is>
          <t>0,2</t>
        </is>
      </c>
      <c r="F12" s="8" t="inlineStr">
        <is>
          <t>0,3 – 0,5</t>
        </is>
      </c>
      <c r="G12" s="20" t="inlineStr">
        <is>
          <t>1,0</t>
        </is>
      </c>
      <c r="H12" s="10" t="inlineStr">
        <is>
          <t>Tham chiếu: Aloe / Basil (vai trò làm dịu). Cần đủ để trung hòa cảm giác châm chích của hệ tinh dầu.</t>
        </is>
      </c>
      <c r="I12" s="13" t="inlineStr"/>
      <c r="J12" s="12" t="inlineStr"/>
    </row>
    <row r="13" ht="75" customHeight="1">
      <c r="A13" s="8" t="n">
        <v>22</v>
      </c>
      <c r="B13" s="10" t="inlineStr">
        <is>
          <t>Tocopherol 100</t>
        </is>
      </c>
      <c r="C13" s="10" t="inlineStr">
        <is>
          <t>Tocopherol</t>
        </is>
      </c>
      <c r="D13" s="10" t="inlineStr">
        <is>
          <t>Bảo vệ hạn dùng (chống ôi dầu)</t>
        </is>
      </c>
      <c r="E13" s="20" t="inlineStr">
        <is>
          <t>0,2</t>
        </is>
      </c>
      <c r="F13" s="8" t="inlineStr">
        <is>
          <t>0,2 – 0,3</t>
        </is>
      </c>
      <c r="G13" s="20" t="inlineStr">
        <is>
          <t>0,5</t>
        </is>
      </c>
      <c r="H13" s="10" t="inlineStr">
        <is>
          <t>Tham chiếu: Tocopherol 0,45 + chất chống oxy hóa tổng hợp 0,10. Bắt buộc để hệ dầu giàu omega (Sachi, hạt nho) không ôi trong hạn dùng; trên 0,5% có thể phản tác dụng.</t>
        </is>
      </c>
      <c r="I13" s="13" t="inlineStr"/>
      <c r="J13" s="12" t="inlineStr"/>
    </row>
    <row r="15">
      <c r="A15" s="14" t="inlineStr">
        <is>
          <t>B. GIỚI HẠN AN TOÀN</t>
        </is>
      </c>
    </row>
    <row r="16">
      <c r="A16" s="7" t="inlineStr">
        <is>
          <t>STT</t>
        </is>
      </c>
      <c r="B16" s="7" t="inlineStr">
        <is>
          <t>Thành phần / nhóm</t>
        </is>
      </c>
      <c r="C16" s="21" t="n"/>
      <c r="D16" s="7" t="inlineStr">
        <is>
          <t>Mục đích</t>
        </is>
      </c>
      <c r="E16" s="7" t="inlineStr">
        <is>
          <t>Giới hạn</t>
        </is>
      </c>
      <c r="F16" s="22" t="n"/>
      <c r="G16" s="22" t="n"/>
      <c r="H16" s="21" t="n"/>
      <c r="I16" s="7" t="inlineStr">
        <is>
          <t>Xác nhận Bên A</t>
        </is>
      </c>
      <c r="J16" s="7" t="inlineStr">
        <is>
          <t>Giải trình</t>
        </is>
      </c>
    </row>
    <row r="17" ht="32" customHeight="1">
      <c r="A17" s="8" t="n">
        <v>1</v>
      </c>
      <c r="B17" s="10" t="inlineStr">
        <is>
          <t>Tinh dầu bạc hà – Mentha Piperita Oil</t>
        </is>
      </c>
      <c r="C17" s="21" t="n"/>
      <c r="D17" s="10" t="inlineStr">
        <is>
          <t>Tránh buốt rát da đầu</t>
        </is>
      </c>
      <c r="E17" s="23" t="inlineStr">
        <is>
          <t>≤ 0,5%</t>
        </is>
      </c>
      <c r="F17" s="22" t="n"/>
      <c r="G17" s="22" t="n"/>
      <c r="H17" s="21" t="n"/>
      <c r="I17" s="13" t="inlineStr"/>
      <c r="J17" s="12" t="inlineStr"/>
    </row>
    <row r="18" ht="32" customHeight="1">
      <c r="A18" s="8" t="n">
        <v>2</v>
      </c>
      <c r="B18" s="10" t="inlineStr">
        <is>
          <t>Tinh dầu gừng – Zingiber Officinale Root Oil</t>
        </is>
      </c>
      <c r="C18" s="21" t="n"/>
      <c r="D18" s="10" t="inlineStr">
        <is>
          <t>Tránh nóng rát</t>
        </is>
      </c>
      <c r="E18" s="23" t="inlineStr">
        <is>
          <t>≤ 0,3%</t>
        </is>
      </c>
      <c r="F18" s="22" t="n"/>
      <c r="G18" s="22" t="n"/>
      <c r="H18" s="21" t="n"/>
      <c r="I18" s="13" t="inlineStr"/>
      <c r="J18" s="12" t="inlineStr"/>
    </row>
    <row r="19" ht="32" customHeight="1">
      <c r="A19" s="8" t="n">
        <v>3</v>
      </c>
      <c r="B19" s="10" t="inlineStr">
        <is>
          <t>Tinh dầu bưởi – Citrus Maxima/Grandis Peel Oil</t>
        </is>
      </c>
      <c r="C19" s="21" t="n"/>
      <c r="D19" s="10" t="inlineStr">
        <is>
          <t>Limonene là chất gây mẫn cảm; ưu tiên loại chưng cất/FCF</t>
        </is>
      </c>
      <c r="E19" s="23" t="inlineStr">
        <is>
          <t>≤ 0,8%</t>
        </is>
      </c>
      <c r="F19" s="22" t="n"/>
      <c r="G19" s="22" t="n"/>
      <c r="H19" s="21" t="n"/>
      <c r="I19" s="13" t="inlineStr"/>
      <c r="J19" s="12" t="inlineStr"/>
    </row>
    <row r="20" ht="32" customHeight="1">
      <c r="A20" s="8" t="n">
        <v>4</v>
      </c>
      <c r="B20" s="10" t="inlineStr">
        <is>
          <t>Tổng tinh dầu (hương thảo, bưởi, tràm trà, bạc hà, oải hương, gừng, nghệ)</t>
        </is>
      </c>
      <c r="C20" s="21" t="n"/>
      <c r="D20" s="10" t="inlineStr">
        <is>
          <t>Giới hạn kích ứng &amp; allergen phải ghi nhãn</t>
        </is>
      </c>
      <c r="E20" s="23" t="inlineStr">
        <is>
          <t>≤ 3,5%</t>
        </is>
      </c>
      <c r="F20" s="22" t="n"/>
      <c r="G20" s="22" t="n"/>
      <c r="H20" s="21" t="n"/>
      <c r="I20" s="13" t="inlineStr"/>
      <c r="J20" s="12" t="inlineStr"/>
    </row>
    <row r="21" ht="32" customHeight="1">
      <c r="A21" s="8" t="n">
        <v>5</v>
      </c>
      <c r="B21" s="10" t="inlineStr">
        <is>
          <t>Nước, dầu khoáng (Mineral Oil/Paraffinum Liquidum), paraben, silicone</t>
        </is>
      </c>
      <c r="C21" s="21" t="n"/>
      <c r="D21" s="10" t="inlineStr">
        <is>
          <t>Theo định hướng sản phẩm</t>
        </is>
      </c>
      <c r="E21" s="23" t="inlineStr">
        <is>
          <t>Không chứa</t>
        </is>
      </c>
      <c r="F21" s="22" t="n"/>
      <c r="G21" s="22" t="n"/>
      <c r="H21" s="21" t="n"/>
      <c r="I21" s="13" t="inlineStr"/>
      <c r="J21" s="12" t="inlineStr"/>
    </row>
    <row r="23">
      <c r="A23" s="14" t="inlineStr">
        <is>
          <t>C. TIÊU CHÍ CẢM QUAN – HIỆU NĂNG (thành phần nền do Bên A tự cân đối để đạt)</t>
        </is>
      </c>
    </row>
    <row r="24">
      <c r="A24" s="7" t="inlineStr">
        <is>
          <t>STT</t>
        </is>
      </c>
      <c r="B24" s="7" t="inlineStr">
        <is>
          <t>Tiêu chí</t>
        </is>
      </c>
      <c r="C24" s="7" t="inlineStr">
        <is>
          <t>Yêu cầu</t>
        </is>
      </c>
      <c r="D24" s="22" t="n"/>
      <c r="E24" s="22" t="n"/>
      <c r="F24" s="22" t="n"/>
      <c r="G24" s="22" t="n"/>
      <c r="H24" s="21" t="n"/>
      <c r="I24" s="7" t="inlineStr">
        <is>
          <t>Xác nhận Bên A</t>
        </is>
      </c>
      <c r="J24" s="7" t="inlineStr">
        <is>
          <t>Ghi chú</t>
        </is>
      </c>
    </row>
    <row r="25" ht="30" customHeight="1">
      <c r="A25" s="8" t="n">
        <v>1</v>
      </c>
      <c r="B25" s="10" t="inlineStr">
        <is>
          <t>Dàn trải &amp; cảm giác</t>
        </is>
      </c>
      <c r="C25" s="10" t="inlineStr">
        <is>
          <t>Lan tốt, không bết rít; khô bề mặt ≤ 5 phút</t>
        </is>
      </c>
      <c r="D25" s="22" t="n"/>
      <c r="E25" s="22" t="n"/>
      <c r="F25" s="22" t="n"/>
      <c r="G25" s="22" t="n"/>
      <c r="H25" s="21" t="n"/>
      <c r="I25" s="13" t="inlineStr"/>
      <c r="J25" s="12" t="inlineStr"/>
    </row>
    <row r="26" ht="30" customHeight="1">
      <c r="A26" s="8" t="n">
        <v>2</v>
      </c>
      <c r="B26" s="10" t="inlineStr">
        <is>
          <t>Khả năng gội sạch</t>
        </is>
      </c>
      <c r="C26" s="10" t="inlineStr">
        <is>
          <t>Sạch hoàn toàn sau 1–2 lần dầu gội thông thường, không còn màng nhờn</t>
        </is>
      </c>
      <c r="D26" s="22" t="n"/>
      <c r="E26" s="22" t="n"/>
      <c r="F26" s="22" t="n"/>
      <c r="G26" s="22" t="n"/>
      <c r="H26" s="21" t="n"/>
      <c r="I26" s="13" t="inlineStr"/>
      <c r="J26" s="12" t="inlineStr"/>
    </row>
    <row r="27" ht="30" customHeight="1">
      <c r="A27" s="8" t="n">
        <v>3</v>
      </c>
      <c r="B27" s="10" t="inlineStr">
        <is>
          <t>Châm chích / kích ứng</t>
        </is>
      </c>
      <c r="C27" s="10" t="inlineStr">
        <is>
          <t>Điểm châm chích ≤ 2/5 trên panel; không đỏ, ngứa sau ủ 40 phút</t>
        </is>
      </c>
      <c r="D27" s="22" t="n"/>
      <c r="E27" s="22" t="n"/>
      <c r="F27" s="22" t="n"/>
      <c r="G27" s="22" t="n"/>
      <c r="H27" s="21" t="n"/>
      <c r="I27" s="13" t="inlineStr"/>
      <c r="J27" s="12" t="inlineStr"/>
    </row>
    <row r="28" ht="30" customHeight="1">
      <c r="A28" s="8" t="n">
        <v>4</v>
      </c>
      <c r="B28" s="10" t="inlineStr">
        <is>
          <t>Mùi</t>
        </is>
      </c>
      <c r="C28" s="10" t="inlineStr">
        <is>
          <t>Thảo mộc – cam chanh, không lấn mùi Neem; ổn định sau 4 tuần ở 40–45 °C</t>
        </is>
      </c>
      <c r="D28" s="22" t="n"/>
      <c r="E28" s="22" t="n"/>
      <c r="F28" s="22" t="n"/>
      <c r="G28" s="22" t="n"/>
      <c r="H28" s="21" t="n"/>
      <c r="I28" s="13" t="inlineStr"/>
      <c r="J28" s="12" t="inlineStr"/>
    </row>
    <row r="29" ht="30" customHeight="1">
      <c r="A29" s="8" t="n">
        <v>5</v>
      </c>
      <c r="B29" s="10" t="inlineStr">
        <is>
          <t>Ngoại quan</t>
        </is>
      </c>
      <c r="C29" s="10" t="inlineStr">
        <is>
          <t>Dầu trong, vàng nhạt – vàng; không cặn, không tách lớp</t>
        </is>
      </c>
      <c r="D29" s="22" t="n"/>
      <c r="E29" s="22" t="n"/>
      <c r="F29" s="22" t="n"/>
      <c r="G29" s="22" t="n"/>
      <c r="H29" s="21" t="n"/>
      <c r="I29" s="13" t="inlineStr"/>
      <c r="J29" s="12" t="inlineStr"/>
    </row>
    <row r="30" ht="30" customHeight="1">
      <c r="A30" s="8" t="n">
        <v>6</v>
      </c>
      <c r="B30" s="10" t="inlineStr">
        <is>
          <t>Ổn định</t>
        </is>
      </c>
      <c r="C30" s="10" t="inlineStr">
        <is>
          <t>Không ôi, không đổi màu/mùi bất thường sau 4 tuần 40–45 °C, 4 °C và 6 chu kỳ nóng–lạnh; peroxide ≤ 5 meq O2/kg khi xuất xưởng</t>
        </is>
      </c>
      <c r="D30" s="22" t="n"/>
      <c r="E30" s="22" t="n"/>
      <c r="F30" s="22" t="n"/>
      <c r="G30" s="22" t="n"/>
      <c r="H30" s="21" t="n"/>
      <c r="I30" s="13" t="inlineStr"/>
      <c r="J30" s="12" t="inlineStr"/>
    </row>
    <row r="32">
      <c r="A32" s="14" t="inlineStr">
        <is>
          <t>D. CHUẨN HÓA INCI TRÊN CÔNG THỨC V3 (24/09/2026)</t>
        </is>
      </c>
    </row>
    <row r="33">
      <c r="A33" s="7" t="inlineStr">
        <is>
          <t>STT V3</t>
        </is>
      </c>
      <c r="B33" s="7" t="inlineStr">
        <is>
          <t>V3 đang ghi</t>
        </is>
      </c>
      <c r="C33" s="7" t="inlineStr">
        <is>
          <t>INCI đề nghị</t>
        </is>
      </c>
      <c r="D33" s="22" t="n"/>
      <c r="E33" s="22" t="n"/>
      <c r="F33" s="22" t="n"/>
      <c r="G33" s="22" t="n"/>
      <c r="H33" s="21" t="n"/>
      <c r="I33" s="7" t="inlineStr">
        <is>
          <t>Xác nhận Bên A</t>
        </is>
      </c>
      <c r="J33" s="7" t="inlineStr">
        <is>
          <t>Ghi chú</t>
        </is>
      </c>
    </row>
    <row r="34" ht="22" customHeight="1">
      <c r="A34" s="8" t="inlineStr">
        <is>
          <t>3</t>
        </is>
      </c>
      <c r="B34" s="10" t="inlineStr">
        <is>
          <t>Simmondsia Chinensis Oil</t>
        </is>
      </c>
      <c r="C34" s="10" t="inlineStr">
        <is>
          <t>Simmondsia Chinensis (Jojoba) Seed Oil</t>
        </is>
      </c>
      <c r="D34" s="22" t="n"/>
      <c r="E34" s="22" t="n"/>
      <c r="F34" s="22" t="n"/>
      <c r="G34" s="22" t="n"/>
      <c r="H34" s="21" t="n"/>
      <c r="I34" s="13" t="inlineStr"/>
      <c r="J34" s="12" t="inlineStr"/>
    </row>
    <row r="35" ht="22" customHeight="1">
      <c r="A35" s="8" t="inlineStr">
        <is>
          <t>4</t>
        </is>
      </c>
      <c r="B35" s="10" t="inlineStr">
        <is>
          <t>Grape Seed Oil</t>
        </is>
      </c>
      <c r="C35" s="10" t="inlineStr">
        <is>
          <t>Vitis Vinifera (Grape) Seed Oil</t>
        </is>
      </c>
      <c r="D35" s="22" t="n"/>
      <c r="E35" s="22" t="n"/>
      <c r="F35" s="22" t="n"/>
      <c r="G35" s="22" t="n"/>
      <c r="H35" s="21" t="n"/>
      <c r="I35" s="13" t="inlineStr"/>
      <c r="J35" s="12" t="inlineStr"/>
    </row>
    <row r="36" ht="22" customHeight="1">
      <c r="A36" s="8" t="inlineStr">
        <is>
          <t>6</t>
        </is>
      </c>
      <c r="B36" s="10" t="inlineStr">
        <is>
          <t>Argania Spinos Oil</t>
        </is>
      </c>
      <c r="C36" s="10" t="inlineStr">
        <is>
          <t>Argania Spinosa Kernel Oil</t>
        </is>
      </c>
      <c r="D36" s="22" t="n"/>
      <c r="E36" s="22" t="n"/>
      <c r="F36" s="22" t="n"/>
      <c r="G36" s="22" t="n"/>
      <c r="H36" s="21" t="n"/>
      <c r="I36" s="13" t="inlineStr"/>
      <c r="J36" s="12" t="inlineStr"/>
    </row>
    <row r="37" ht="22" customHeight="1">
      <c r="A37" s="8" t="inlineStr">
        <is>
          <t>8</t>
        </is>
      </c>
      <c r="B37" s="10" t="inlineStr">
        <is>
          <t>Amla Oil</t>
        </is>
      </c>
      <c r="C37" s="10" t="inlineStr">
        <is>
          <t>Phyllanthus Emblica Fruit Extract + INCI dầu nền (theo COA)</t>
        </is>
      </c>
      <c r="D37" s="22" t="n"/>
      <c r="E37" s="22" t="n"/>
      <c r="F37" s="22" t="n"/>
      <c r="G37" s="22" t="n"/>
      <c r="H37" s="21" t="n"/>
      <c r="I37" s="13" t="inlineStr"/>
      <c r="J37" s="12" t="inlineStr"/>
    </row>
    <row r="38" ht="22" customHeight="1">
      <c r="A38" s="8" t="inlineStr">
        <is>
          <t>13</t>
        </is>
      </c>
      <c r="B38" s="10" t="inlineStr">
        <is>
          <t>Citrus Maxima (Tinh dầu bưởi da xanh)</t>
        </is>
      </c>
      <c r="C38" s="10" t="inlineStr">
        <is>
          <t>Citrus Maxima Peel Oil / Citrus Grandis (Grapefruit) Peel Oil (theo COA)</t>
        </is>
      </c>
      <c r="D38" s="22" t="n"/>
      <c r="E38" s="22" t="n"/>
      <c r="F38" s="22" t="n"/>
      <c r="G38" s="22" t="n"/>
      <c r="H38" s="21" t="n"/>
      <c r="I38" s="13" t="inlineStr"/>
      <c r="J38" s="12" t="inlineStr"/>
    </row>
    <row r="39" ht="22" customHeight="1">
      <c r="A39" s="8" t="inlineStr">
        <is>
          <t>15</t>
        </is>
      </c>
      <c r="B39" s="10" t="inlineStr">
        <is>
          <t>Zingiber Officinale (Ginger) Root Oil (Ginger Oil )</t>
        </is>
      </c>
      <c r="C39" s="10" t="inlineStr">
        <is>
          <t>Zingiber Officinale (Ginger) Root Oil</t>
        </is>
      </c>
      <c r="D39" s="22" t="n"/>
      <c r="E39" s="22" t="n"/>
      <c r="F39" s="22" t="n"/>
      <c r="G39" s="22" t="n"/>
      <c r="H39" s="21" t="n"/>
      <c r="I39" s="13" t="inlineStr"/>
      <c r="J39" s="12" t="inlineStr"/>
    </row>
    <row r="40" ht="22" customHeight="1">
      <c r="A40" s="8" t="inlineStr">
        <is>
          <t>16</t>
        </is>
      </c>
      <c r="B40" s="10" t="inlineStr">
        <is>
          <t>Curcuma Longa (Turmeric Oil)</t>
        </is>
      </c>
      <c r="C40" s="10" t="inlineStr">
        <is>
          <t>Curcuma Longa (Turmeric) Root Oil</t>
        </is>
      </c>
      <c r="D40" s="22" t="n"/>
      <c r="E40" s="22" t="n"/>
      <c r="F40" s="22" t="n"/>
      <c r="G40" s="22" t="n"/>
      <c r="H40" s="21" t="n"/>
      <c r="I40" s="13" t="inlineStr"/>
      <c r="J40" s="12" t="inlineStr"/>
    </row>
    <row r="41" ht="22" customHeight="1">
      <c r="A41" s="8" t="inlineStr">
        <is>
          <t>19</t>
        </is>
      </c>
      <c r="B41" s="10" t="inlineStr">
        <is>
          <t>Lavandula Angustifolia (Lavender Oil)</t>
        </is>
      </c>
      <c r="C41" s="10" t="inlineStr">
        <is>
          <t>Lavandula Angustifolia (Lavender) Oil</t>
        </is>
      </c>
      <c r="D41" s="22" t="n"/>
      <c r="E41" s="22" t="n"/>
      <c r="F41" s="22" t="n"/>
      <c r="G41" s="22" t="n"/>
      <c r="H41" s="21" t="n"/>
      <c r="I41" s="13" t="inlineStr"/>
      <c r="J41" s="12" t="inlineStr"/>
    </row>
    <row r="43">
      <c r="A43" s="14" t="inlineStr">
        <is>
          <t>E. TÀI LIỆU NGUYÊN LIỆU ĐỀ NGHỊ BÊN A CUNG CẤP (ngay trong giai đoạn làm mẫu)</t>
        </is>
      </c>
    </row>
    <row r="44">
      <c r="A44" s="15" t="inlineStr">
        <is>
          <t>• COA, MSDS của toàn bộ nguyên liệu (phục vụ PIF).</t>
        </is>
      </c>
    </row>
    <row r="45">
      <c r="A45" s="15" t="inlineStr">
        <is>
          <t>• Amla oil: nhà sản xuất, dầu nền, nồng độ chiết xuất amla; xác nhận không chứa dầu khoáng.</t>
        </is>
      </c>
    </row>
    <row r="46">
      <c r="A46" s="15" t="inlineStr">
        <is>
          <t>• Bakuchiol 99%: COA có chỉ tiêu psoralen/isopsoralen (furocoumarin).</t>
        </is>
      </c>
    </row>
    <row r="47">
      <c r="A47" s="15" t="inlineStr">
        <is>
          <t>• Tinh dầu: chứng nhận IFRA và bảng allergen (Limonene, Linalool, Citral, Geraniol, Eugenol…) để tính nội dung ghi nhãn.</t>
        </is>
      </c>
    </row>
    <row r="48">
      <c r="A48" s="15" t="inlineStr">
        <is>
          <t>• Tinh dầu bưởi: phương pháp sản xuất (ép lạnh / chưng cất / FCF).</t>
        </is>
      </c>
    </row>
    <row r="50">
      <c r="A50" s="14" t="inlineStr">
        <is>
          <t>F. SAU KHI KÝ HỢP ĐỒNG OEM – HỒ SƠ CÔNG THỨC BÀN GIAO CHO BÊN B (Phụ lục 01 mục D)</t>
        </is>
      </c>
    </row>
    <row r="51">
      <c r="A51" s="15" t="inlineStr">
        <is>
          <t>• Bảng công thức định lượng 100% thành phần: tên thương mại, INCI, số CAS, % khối lượng, pha, chức năng, nhà sản xuất/NCC, grade; thành phần bên trong của nguyên liệu hỗn hợp.</t>
        </is>
      </c>
    </row>
    <row r="52">
      <c r="A52" s="15" t="inlineStr">
        <is>
          <t>• Quy trình sản xuất chi tiết: cỡ mẻ, thiết bị, thứ tự phối trộn, nhiệt độ, thời gian, tốc độ khuấy, lọc, chiết rót.</t>
        </is>
      </c>
    </row>
    <row r="53">
      <c r="A53" s="15" t="inlineStr">
        <is>
          <t>• Các điểm kiểm soát trong quá trình (IPC) và giới hạn chấp nhận.</t>
        </is>
      </c>
    </row>
    <row r="54">
      <c r="A54" s="15" t="inlineStr">
        <is>
          <t>• Spec, COA, MSDS từng nguyên liệu; IFRA/allergen tinh dầu; dữ liệu ổn định, tương thích bao bì, đánh giá an toàn.</t>
        </is>
      </c>
    </row>
    <row r="55">
      <c r="A55" s="15" t="inlineStr">
        <is>
          <t>• Thời hạn: trong 05 ngày làm việc kể từ ngày ký Hợp đồng, trước khi Bên B ký mẫu chốt. Công thức thuộc sở hữu của Bên B (Hợp đồng OEM).</t>
        </is>
      </c>
    </row>
  </sheetData>
  <mergeCells count="40">
    <mergeCell ref="C25:H25"/>
    <mergeCell ref="A47:J47"/>
    <mergeCell ref="C41:H41"/>
    <mergeCell ref="B16:C16"/>
    <mergeCell ref="C40:H40"/>
    <mergeCell ref="A53:J53"/>
    <mergeCell ref="E16:H16"/>
    <mergeCell ref="B18:C18"/>
    <mergeCell ref="A52:J52"/>
    <mergeCell ref="A44:J44"/>
    <mergeCell ref="B21:C21"/>
    <mergeCell ref="E18:H18"/>
    <mergeCell ref="C36:H36"/>
    <mergeCell ref="C27:H27"/>
    <mergeCell ref="E21:H21"/>
    <mergeCell ref="C39:H39"/>
    <mergeCell ref="A48:J48"/>
    <mergeCell ref="B17:C17"/>
    <mergeCell ref="A51:J51"/>
    <mergeCell ref="A1:J1"/>
    <mergeCell ref="C38:H38"/>
    <mergeCell ref="E17:H17"/>
    <mergeCell ref="A45:J45"/>
    <mergeCell ref="C28:H28"/>
    <mergeCell ref="B19:C19"/>
    <mergeCell ref="C37:H37"/>
    <mergeCell ref="E20:H20"/>
    <mergeCell ref="C34:H34"/>
    <mergeCell ref="E19:H19"/>
    <mergeCell ref="A54:J54"/>
    <mergeCell ref="C30:H30"/>
    <mergeCell ref="C33:H33"/>
    <mergeCell ref="C24:H24"/>
    <mergeCell ref="A46:J46"/>
    <mergeCell ref="A2:J2"/>
    <mergeCell ref="B20:C20"/>
    <mergeCell ref="A55:J55"/>
    <mergeCell ref="C35:H35"/>
    <mergeCell ref="C26:H26"/>
    <mergeCell ref="C29:H29"/>
  </mergeCells>
  <dataValidations count="2">
    <dataValidation sqref="I6:I13 I17:I21 I25:I30" showDropDown="0" showInputMessage="0" showErrorMessage="0" allowBlank="1" type="list">
      <formula1>"Cam kết đạt,Chưa đạt - có giải trình"</formula1>
    </dataValidation>
    <dataValidation sqref="I34:I41" showDropDown="0" showInputMessage="0" showErrorMessage="0" allowBlank="1" type="list">
      <formula1>"Đồng ý,Đề xuất khác"</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8" customWidth="1" min="1" max="1"/>
    <col width="17" customWidth="1" min="2" max="2"/>
    <col width="17" customWidth="1" min="3" max="3"/>
    <col width="17" customWidth="1" min="4" max="4"/>
    <col width="17" customWidth="1" min="5" max="5"/>
    <col width="17" customWidth="1" min="6" max="6"/>
  </cols>
  <sheetData>
    <row r="1" ht="26.6" customHeight="1">
      <c r="A1" s="18" t="inlineStr">
        <is>
          <t>TỔNG HỢP KẾT QUẢ THƯƠNG THẢO</t>
        </is>
      </c>
    </row>
    <row r="3">
      <c r="A3" s="7" t="inlineStr">
        <is>
          <t>Tính chất</t>
        </is>
      </c>
      <c r="B3" s="7" t="inlineStr">
        <is>
          <t>Tổng số</t>
        </is>
      </c>
      <c r="C3" s="7" t="inlineStr">
        <is>
          <t>Đồng ý</t>
        </is>
      </c>
      <c r="D3" s="7" t="inlineStr">
        <is>
          <t>Đồng ý có sửa đổi</t>
        </is>
      </c>
      <c r="E3" s="7" t="inlineStr">
        <is>
          <t>Chưa thống nhất</t>
        </is>
      </c>
      <c r="F3" s="7" t="inlineStr">
        <is>
          <t>Chưa ghi kết quả</t>
        </is>
      </c>
    </row>
    <row r="4">
      <c r="A4" s="10" t="inlineStr">
        <is>
          <t>Pháp lý</t>
        </is>
      </c>
      <c r="B4" s="8">
        <f>COUNTIF('Bien ban thuong thao'!$G$15:$G$54,A4)</f>
        <v/>
      </c>
      <c r="C4" s="8">
        <f>COUNTIFS('Bien ban thuong thao'!$G$15:$G$54,A4,'Bien ban thuong thao'!$I$15:$I$54,"Đồng ý")</f>
        <v/>
      </c>
      <c r="D4" s="8">
        <f>COUNTIFS('Bien ban thuong thao'!$G$15:$G$54,A4,'Bien ban thuong thao'!$I$15:$I$54,"Đồng ý có sửa đổi")</f>
        <v/>
      </c>
      <c r="E4" s="23">
        <f>COUNTIFS('Bien ban thuong thao'!$G$15:$G$54,A4,'Bien ban thuong thao'!$I$15:$I$54,"Chưa thống nhất")</f>
        <v/>
      </c>
      <c r="F4" s="8">
        <f>B4-C4-D4-E4</f>
        <v/>
      </c>
    </row>
    <row r="5">
      <c r="A5" s="10" t="inlineStr">
        <is>
          <t>Chất lượng</t>
        </is>
      </c>
      <c r="B5" s="8">
        <f>COUNTIF('Bien ban thuong thao'!$G$15:$G$54,A5)</f>
        <v/>
      </c>
      <c r="C5" s="8">
        <f>COUNTIFS('Bien ban thuong thao'!$G$15:$G$54,A5,'Bien ban thuong thao'!$I$15:$I$54,"Đồng ý")</f>
        <v/>
      </c>
      <c r="D5" s="8">
        <f>COUNTIFS('Bien ban thuong thao'!$G$15:$G$54,A5,'Bien ban thuong thao'!$I$15:$I$54,"Đồng ý có sửa đổi")</f>
        <v/>
      </c>
      <c r="E5" s="23">
        <f>COUNTIFS('Bien ban thuong thao'!$G$15:$G$54,A5,'Bien ban thuong thao'!$I$15:$I$54,"Chưa thống nhất")</f>
        <v/>
      </c>
      <c r="F5" s="8">
        <f>B5-C5-D5-E5</f>
        <v/>
      </c>
    </row>
    <row r="6">
      <c r="A6" s="10" t="inlineStr">
        <is>
          <t>Thương mại</t>
        </is>
      </c>
      <c r="B6" s="8">
        <f>COUNTIF('Bien ban thuong thao'!$G$15:$G$54,A6)</f>
        <v/>
      </c>
      <c r="C6" s="8">
        <f>COUNTIFS('Bien ban thuong thao'!$G$15:$G$54,A6,'Bien ban thuong thao'!$I$15:$I$54,"Đồng ý")</f>
        <v/>
      </c>
      <c r="D6" s="8">
        <f>COUNTIFS('Bien ban thuong thao'!$G$15:$G$54,A6,'Bien ban thuong thao'!$I$15:$I$54,"Đồng ý có sửa đổi")</f>
        <v/>
      </c>
      <c r="E6" s="23">
        <f>COUNTIFS('Bien ban thuong thao'!$G$15:$G$54,A6,'Bien ban thuong thao'!$I$15:$I$54,"Chưa thống nhất")</f>
        <v/>
      </c>
      <c r="F6" s="8">
        <f>B6-C6-D6-E6</f>
        <v/>
      </c>
    </row>
    <row r="7">
      <c r="A7" s="10" t="inlineStr">
        <is>
          <t>Vận hành</t>
        </is>
      </c>
      <c r="B7" s="8">
        <f>COUNTIF('Bien ban thuong thao'!$G$15:$G$54,A7)</f>
        <v/>
      </c>
      <c r="C7" s="8">
        <f>COUNTIFS('Bien ban thuong thao'!$G$15:$G$54,A7,'Bien ban thuong thao'!$I$15:$I$54,"Đồng ý")</f>
        <v/>
      </c>
      <c r="D7" s="8">
        <f>COUNTIFS('Bien ban thuong thao'!$G$15:$G$54,A7,'Bien ban thuong thao'!$I$15:$I$54,"Đồng ý có sửa đổi")</f>
        <v/>
      </c>
      <c r="E7" s="23">
        <f>COUNTIFS('Bien ban thuong thao'!$G$15:$G$54,A7,'Bien ban thuong thao'!$I$15:$I$54,"Chưa thống nhất")</f>
        <v/>
      </c>
      <c r="F7" s="8">
        <f>B7-C7-D7-E7</f>
        <v/>
      </c>
    </row>
    <row r="8">
      <c r="A8" s="24" t="inlineStr">
        <is>
          <t>TỔNG CỘNG</t>
        </is>
      </c>
      <c r="B8" s="25">
        <f>SUM(B4:B7)</f>
        <v/>
      </c>
      <c r="C8" s="25">
        <f>SUM(C4:C7)</f>
        <v/>
      </c>
      <c r="D8" s="25">
        <f>SUM(D4:D7)</f>
        <v/>
      </c>
      <c r="E8" s="25">
        <f>SUM(E4:E7)</f>
        <v/>
      </c>
      <c r="F8" s="25">
        <f>SUM(F4:F7)</f>
        <v/>
      </c>
    </row>
    <row r="10">
      <c r="A10" s="1" t="inlineStr">
        <is>
          <t>Tỷ lệ đã thống nhất</t>
        </is>
      </c>
      <c r="B10" s="26">
        <f>IF(B8=0,0,(C8+D8)/B8)</f>
        <v/>
      </c>
    </row>
    <row r="11">
      <c r="A11" s="1" t="inlineStr">
        <is>
          <t>Thành phần chủ chốt đã cam kết</t>
        </is>
      </c>
      <c r="B11" s="27">
        <f>COUNTIF('Yeu cau ky thuat'!$I$6:$I$13,"Cam kết đạt")&amp;" / 8"</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2026-10-09T05:07:52Z</dcterms:created>
  <dcterms:modified xmlns:dcterms="http://purl.org/dc/terms/" xmlns:xsi="http://www.w3.org/2001/XMLSchema-instance" xsi:type="dcterms:W3CDTF">2026-10-09T05:07:52Z</dcterms:modified>
</cp:coreProperties>
</file>