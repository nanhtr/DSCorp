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n ban thuong thao" sheetId="1" state="visible" r:id="rId1"/>
    <sheet xmlns:r="http://schemas.openxmlformats.org/officeDocument/2006/relationships" name="Yeu cau ky thuat" sheetId="2" state="visible" r:id="rId2"/>
    <sheet xmlns:r="http://schemas.openxmlformats.org/officeDocument/2006/relationships" name="Tong hop" sheetId="3" state="visible" r:id="rId3"/>
  </sheets>
  <definedNames>
    <definedName name="_xlnm.Print_Titles" localSheetId="0">'Bien ban thuong thao'!$15:$15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5E3B"/>
      <sz val="10"/>
    </font>
    <font>
      <name val="Arial"/>
      <b val="1"/>
      <sz val="10"/>
    </font>
    <font>
      <name val="Arial"/>
      <b val="1"/>
      <color rgb="001F5E3B"/>
      <sz val="15"/>
    </font>
    <font>
      <name val="Arial"/>
      <b val="1"/>
      <color rgb="001F5E3B"/>
      <sz val="11"/>
    </font>
    <font>
      <name val="Arial"/>
      <sz val="10"/>
    </font>
    <font>
      <name val="Arial"/>
      <b val="1"/>
      <color rgb="00FFFFFF"/>
      <sz val="10"/>
    </font>
    <font>
      <name val="Arial"/>
      <b val="1"/>
      <sz val="11"/>
    </font>
    <font>
      <name val="Arial"/>
      <b val="1"/>
      <color rgb="001F5E3B"/>
      <sz val="14"/>
    </font>
    <font>
      <name val="Arial"/>
      <i val="1"/>
      <sz val="10"/>
    </font>
    <font>
      <name val="Arial"/>
      <b val="1"/>
      <color rgb="001F5E3B"/>
    </font>
    <font>
      <name val="Arial"/>
      <b val="1"/>
    </font>
  </fonts>
  <fills count="5">
    <fill>
      <patternFill/>
    </fill>
    <fill>
      <patternFill patternType="gray125"/>
    </fill>
    <fill>
      <patternFill patternType="solid">
        <fgColor rgb="00FFF8E1"/>
      </patternFill>
    </fill>
    <fill>
      <patternFill patternType="solid">
        <fgColor rgb="001F5E3B"/>
      </patternFill>
    </fill>
    <fill>
      <patternFill patternType="solid">
        <fgColor rgb="00E8F1EA"/>
      </patternFill>
    </fill>
  </fills>
  <borders count="6">
    <border>
      <left/>
      <right/>
      <top/>
      <bottom/>
      <diagonal/>
    </border>
    <border>
      <left style="thin">
        <color rgb="009E9E9E"/>
      </left>
      <right style="thin">
        <color rgb="009E9E9E"/>
      </right>
      <top style="thin">
        <color rgb="009E9E9E"/>
      </top>
      <bottom style="thin">
        <color rgb="009E9E9E"/>
      </bottom>
    </border>
    <border>
      <left/>
      <right/>
      <top style="thin">
        <color rgb="009E9E9E"/>
      </top>
      <bottom/>
      <diagonal/>
    </border>
    <border>
      <left/>
      <right style="thin">
        <color rgb="009E9E9E"/>
      </right>
      <top style="thin">
        <color rgb="009E9E9E"/>
      </top>
      <bottom/>
      <diagonal/>
    </border>
    <border>
      <left/>
      <right style="thin">
        <color rgb="009E9E9E"/>
      </right>
      <top style="thin">
        <color rgb="009E9E9E"/>
      </top>
      <bottom style="thin">
        <color rgb="009E9E9E"/>
      </bottom>
      <diagonal/>
    </border>
    <border>
      <left/>
      <right/>
      <top style="thin">
        <color rgb="009E9E9E"/>
      </top>
      <bottom style="thin">
        <color rgb="009E9E9E"/>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horizontal="right"/>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vertical="top" wrapText="1"/>
    </xf>
    <xf numFmtId="0" fontId="5" fillId="2" borderId="0" applyAlignment="1" pivotButton="0" quotePrefix="0" xfId="0">
      <alignment vertical="top" wrapText="1"/>
    </xf>
    <xf numFmtId="0" fontId="6"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vertical="top" wrapText="1"/>
    </xf>
    <xf numFmtId="0" fontId="5" fillId="2" borderId="1" applyAlignment="1" pivotButton="0" quotePrefix="0" xfId="0">
      <alignment vertical="top" wrapText="1"/>
    </xf>
    <xf numFmtId="0" fontId="5" fillId="2" borderId="1" applyAlignment="1" pivotButton="0" quotePrefix="0" xfId="0">
      <alignment horizontal="center" vertical="center" wrapText="1"/>
    </xf>
    <xf numFmtId="0" fontId="4" fillId="0" borderId="0" pivotButton="0" quotePrefix="0" xfId="0"/>
    <xf numFmtId="0" fontId="5" fillId="0" borderId="0" pivotButton="0" quotePrefix="0" xfId="0"/>
    <xf numFmtId="0" fontId="7" fillId="0" borderId="0" applyAlignment="1" pivotButton="0" quotePrefix="0" xfId="0">
      <alignment horizontal="center"/>
    </xf>
    <xf numFmtId="0" fontId="0" fillId="0" borderId="0" applyAlignment="1" pivotButton="0" quotePrefix="0" xfId="0">
      <alignment horizontal="center"/>
    </xf>
    <xf numFmtId="0" fontId="8" fillId="0" borderId="0" applyAlignment="1" pivotButton="0" quotePrefix="0" xfId="0">
      <alignment horizontal="center" vertical="center" wrapText="1"/>
    </xf>
    <xf numFmtId="0" fontId="9" fillId="0" borderId="0" applyAlignment="1" pivotButton="0" quotePrefix="0" xfId="0">
      <alignment vertical="top" wrapText="1"/>
    </xf>
    <xf numFmtId="0" fontId="10" fillId="0" borderId="0" pivotButton="0" quotePrefix="0" xfId="0"/>
    <xf numFmtId="0" fontId="0" fillId="0" borderId="4" pivotButton="0" quotePrefix="0" xfId="0"/>
    <xf numFmtId="0" fontId="0" fillId="0" borderId="5" pivotButton="0" quotePrefix="0" xfId="0"/>
    <xf numFmtId="0" fontId="2" fillId="4" borderId="1" applyAlignment="1" pivotButton="0" quotePrefix="0" xfId="0">
      <alignment vertical="top" wrapText="1"/>
    </xf>
    <xf numFmtId="0" fontId="2" fillId="4" borderId="1" applyAlignment="1" pivotButton="0" quotePrefix="0" xfId="0">
      <alignment horizontal="center" vertical="center" wrapText="1"/>
    </xf>
    <xf numFmtId="0" fontId="11" fillId="0" borderId="0" pivotButton="0" quotePrefix="0" xfId="0"/>
    <xf numFmtId="9" fontId="0" fillId="0" borderId="0" pivotButton="0" quotePrefix="0" xfId="0"/>
  </cellXfs>
  <cellStyles count="1">
    <cellStyle name="Normal" xfId="0" builtinId="0" hidden="0"/>
  </cellStyles>
  <dxfs count="3">
    <dxf>
      <fill>
        <patternFill patternType="solid">
          <fgColor rgb="00C8E6C9"/>
        </patternFill>
      </fill>
    </dxf>
    <dxf>
      <fill>
        <patternFill patternType="solid">
          <fgColor rgb="00FFF59D"/>
        </patternFill>
      </fill>
    </dxf>
    <dxf>
      <fill>
        <patternFill patternType="solid">
          <f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0"/>
  <sheetViews>
    <sheetView workbookViewId="0">
      <pane xSplit="3" ySplit="15" topLeftCell="D1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1" customWidth="1" min="3" max="3"/>
    <col width="34" customWidth="1" min="4" max="4"/>
    <col width="46" customWidth="1" min="5" max="5"/>
    <col width="40" customWidth="1" min="6" max="6"/>
    <col width="12" customWidth="1" min="7" max="7"/>
    <col width="30" customWidth="1" min="8" max="8"/>
    <col width="18" customWidth="1" min="9" max="9"/>
    <col width="34" customWidth="1" min="10" max="10"/>
  </cols>
  <sheetData>
    <row r="1">
      <c r="A1" s="1" t="inlineStr">
        <is>
          <t>CÔNG TY TNHH DS CORPORATION</t>
        </is>
      </c>
      <c r="F1" s="2" t="inlineStr">
        <is>
          <t>CỘNG HÒA XÃ HỘI CHỦ NGHĨA VIỆT NAM – Độc lập – Tự do – Hạnh phúc</t>
        </is>
      </c>
    </row>
    <row r="3">
      <c r="A3" s="3" t="inlineStr">
        <is>
          <t>BIÊN BẢN THƯƠNG THẢO HỢP ĐỒNG GIA CÔNG SẢN XUẤT MỸ PHẨM</t>
        </is>
      </c>
    </row>
    <row r="4">
      <c r="A4" s="4" t="inlineStr">
        <is>
          <t>Sản phẩm: Pre-Shampoo Scalp Oil-Serum 50 ml – LOT công thức 26I261</t>
        </is>
      </c>
    </row>
    <row r="6" ht="18" customHeight="1">
      <c r="A6" s="5" t="inlineStr">
        <is>
          <t>Số biên bản</t>
        </is>
      </c>
      <c r="B6" s="6" t="inlineStr">
        <is>
          <t>01/2026/BBTT/DS-SHI</t>
        </is>
      </c>
    </row>
    <row r="7" ht="18" customHeight="1">
      <c r="A7" s="5" t="inlineStr">
        <is>
          <t>Thời gian</t>
        </is>
      </c>
      <c r="B7" s="7" t="inlineStr">
        <is>
          <t>…… giờ ……, ngày …… /10/2026</t>
        </is>
      </c>
    </row>
    <row r="8" ht="18" customHeight="1">
      <c r="A8" s="5" t="inlineStr">
        <is>
          <t>Địa điểm / hình thức</t>
        </is>
      </c>
      <c r="B8" s="7" t="inlineStr">
        <is>
          <t>……………………………… (trực tiếp / trực tuyến)</t>
        </is>
      </c>
    </row>
    <row r="9" ht="30" customHeight="1">
      <c r="A9" s="5" t="inlineStr">
        <is>
          <t>Cơ sở thương thảo</t>
        </is>
      </c>
      <c r="B9" s="6" t="inlineStr">
        <is>
          <t>Dự thảo HĐ số 05/10/2026-HĐMB/SHI-DS CORPORATION/TC-1 do Công ty TNHH Hóa Dược Shizencos gửi ngày 05/10/2026 và Dự thảo sửa đổi của DS Corporation ngày 09/10/2026 (Hợp đồng gia công số 05/10/2026-HĐGC/DS-SHI/TC-1)</t>
        </is>
      </c>
    </row>
    <row r="10" ht="30" customHeight="1">
      <c r="A10" s="5" t="inlineStr">
        <is>
          <t>Đại diện DS Corporation</t>
        </is>
      </c>
      <c r="B10" s="7" t="inlineStr">
        <is>
          <t>1. Bà Trương Ngọc Ánh – Tổng Giám đốc
2. ……………………………… – ………………</t>
        </is>
      </c>
    </row>
    <row r="11" ht="30" customHeight="1">
      <c r="A11" s="5" t="inlineStr">
        <is>
          <t>Đại diện Shizencos</t>
        </is>
      </c>
      <c r="B11" s="7" t="inlineStr">
        <is>
          <t>1. Bà Nguyễn Thị Tuyết Vân – Tổng Giám đốc
2. ……………………………… – ………………</t>
        </is>
      </c>
    </row>
    <row r="12" ht="30" customHeight="1">
      <c r="A12" s="5" t="inlineStr">
        <is>
          <t>Nội dung</t>
        </is>
      </c>
      <c r="B12" s="6" t="inlineStr">
        <is>
          <t>Hai bên rà soát từng điều khoản của dự thảo hợp đồng và Phụ lục yêu cầu kỹ thuật (Sheet “Yeu cau ky thuat”). Kết quả từng nội dung ghi tại cột I và J. Các nội dung “Đồng ý” / “Đồng ý có sửa đổi” được đưa vào bản Hợp đồng chính thức.</t>
        </is>
      </c>
    </row>
    <row r="13" ht="30" customHeight="1">
      <c r="A13" s="5" t="inlineStr">
        <is>
          <t>Quy ước</t>
        </is>
      </c>
      <c r="B13" s="6" t="inlineStr">
        <is>
          <t>Bên A = DS Corporation (bên đặt gia công); Bên B = Shizencos (bên nhận gia công) theo dự thảo sửa đổi. Các ô màu vàng nhạt do hai bên điền trong buổi thương thảo.</t>
        </is>
      </c>
    </row>
    <row r="15" ht="32" customHeight="1">
      <c r="A15" s="8" t="inlineStr">
        <is>
          <t>STT</t>
        </is>
      </c>
      <c r="B15" s="8" t="inlineStr">
        <is>
          <t>Điều (dự thảo Shizencos)</t>
        </is>
      </c>
      <c r="C15" s="8" t="inlineStr">
        <is>
          <t>Điều (dự thảo DS)</t>
        </is>
      </c>
      <c r="D15" s="8" t="inlineStr">
        <is>
          <t>Nội dung dự thảo Shizencos</t>
        </is>
      </c>
      <c r="E15" s="8" t="inlineStr">
        <is>
          <t>Đề xuất sửa đổi của DS</t>
        </is>
      </c>
      <c r="F15" s="8" t="inlineStr">
        <is>
          <t>Căn cứ / Lý do</t>
        </is>
      </c>
      <c r="G15" s="8" t="inlineStr">
        <is>
          <t>Tính chất</t>
        </is>
      </c>
      <c r="H15" s="8" t="inlineStr">
        <is>
          <t>Ý kiến Shizencos</t>
        </is>
      </c>
      <c r="I15" s="8" t="inlineStr">
        <is>
          <t>Kết quả</t>
        </is>
      </c>
      <c r="J15" s="8" t="inlineStr">
        <is>
          <t>Nội dung chốt cuối cùng</t>
        </is>
      </c>
    </row>
    <row r="16" ht="75" customHeight="1">
      <c r="A16" s="9" t="n">
        <v>1</v>
      </c>
      <c r="B16" s="9" t="inlineStr">
        <is>
          <t>Tiêu đề</t>
        </is>
      </c>
      <c r="C16" s="9" t="inlineStr">
        <is>
          <t>Tiêu đề, Điều 2</t>
        </is>
      </c>
      <c r="D16" s="10" t="inlineStr">
        <is>
          <t>“Hợp đồng mua bán (v/v sản xuất và gia công sản phẩm theo yêu cầu)”</t>
        </is>
      </c>
      <c r="E16" s="10" t="inlineStr">
        <is>
          <t>Đổi thành “Hợp đồng gia công sản xuất mỹ phẩm”</t>
        </is>
      </c>
      <c r="F16" s="10" t="inlineStr">
        <is>
          <t>Bản chất giao dịch là gia công (Luật Thương mại 2005 Điều 178–184; BLDS 2015 Điều 542–553). Hồ sơ công bố mỹ phẩm sản xuất trong nước cần hợp đồng sản xuất/gia công giữa tổ chức công bố và nhà sản xuất</t>
        </is>
      </c>
      <c r="G16" s="9" t="inlineStr">
        <is>
          <t>Pháp lý</t>
        </is>
      </c>
      <c r="H16" s="11" t="inlineStr"/>
      <c r="I16" s="12" t="inlineStr"/>
      <c r="J16" s="11" t="inlineStr"/>
    </row>
    <row r="17" ht="45" customHeight="1">
      <c r="A17" s="9" t="n">
        <v>2</v>
      </c>
      <c r="B17" s="9" t="inlineStr">
        <is>
          <t>Phần chủ thể</t>
        </is>
      </c>
      <c r="C17" s="9" t="inlineStr">
        <is>
          <t>Phần chủ thể</t>
        </is>
      </c>
      <c r="D17" s="10" t="inlineStr">
        <is>
          <t>Bên A: Shizencos (bên gia công); Bên B: DS (bên thuê gia công)</t>
        </is>
      </c>
      <c r="E17" s="10" t="inlineStr">
        <is>
          <t>Bên A: DS (bên đặt gia công); Bên B: Shizencos (bên nhận gia công)</t>
        </is>
      </c>
      <c r="F17" s="10" t="inlineStr">
        <is>
          <t>Thống nhất thuật ngữ theo Luật Thương mại (bên đặt gia công/bên nhận gia công); không làm thay đổi bản chất nghĩa vụ của mỗi bên</t>
        </is>
      </c>
      <c r="G17" s="9" t="inlineStr">
        <is>
          <t>Pháp lý</t>
        </is>
      </c>
      <c r="H17" s="11" t="inlineStr"/>
      <c r="I17" s="12" t="inlineStr"/>
      <c r="J17" s="11" t="inlineStr"/>
    </row>
    <row r="18" ht="60" customHeight="1">
      <c r="A18" s="9" t="n">
        <v>3</v>
      </c>
      <c r="B18" s="9" t="inlineStr">
        <is>
          <t>Căn cứ</t>
        </is>
      </c>
      <c r="C18" s="9" t="inlineStr">
        <is>
          <t>Căn cứ</t>
        </is>
      </c>
      <c r="D18" s="10" t="inlineStr">
        <is>
          <t>BLDS 2015; Luật Thương mại 2005</t>
        </is>
      </c>
      <c r="E18" s="10" t="inlineStr">
        <is>
          <t>Bổ sung: Nghị định 93/2016/NĐ-CP (sửa đổi bởi NĐ 155/2018/NĐ-CP); Thông tư 06/2011/TT-BYT (sửa đổi, bổ sung); Nghị định 43/2017/NĐ-CP (sửa đổi bởi NĐ 111/2021/NĐ-CP)</t>
        </is>
      </c>
      <c r="F18" s="10" t="inlineStr">
        <is>
          <t>Các văn bản chuyên ngành điều chỉnh sản xuất, công bố, ghi nhãn mỹ phẩm</t>
        </is>
      </c>
      <c r="G18" s="9" t="inlineStr">
        <is>
          <t>Pháp lý</t>
        </is>
      </c>
      <c r="H18" s="11" t="inlineStr"/>
      <c r="I18" s="12" t="inlineStr"/>
      <c r="J18" s="11" t="inlineStr"/>
    </row>
    <row r="19" ht="45" customHeight="1">
      <c r="A19" s="9" t="n">
        <v>4</v>
      </c>
      <c r="B19" s="9" t="inlineStr">
        <is>
          <t>Điều 1</t>
        </is>
      </c>
      <c r="C19" s="9" t="inlineStr">
        <is>
          <t>Điều 2.1</t>
        </is>
      </c>
      <c r="D19" s="10" t="inlineStr">
        <is>
          <t>Nhãn hàng “DS CORPORATION”</t>
        </is>
      </c>
      <c r="E19" s="10" t="inlineStr">
        <is>
          <t>Nhãn hàng: [●] – trùng với tên trên phiếu công bố và bao bì</t>
        </is>
      </c>
      <c r="F19" s="10" t="inlineStr">
        <is>
          <t>Tên nhãn hàng trên phiếu công bố phải khớp nhãn sản phẩm lưu hành</t>
        </is>
      </c>
      <c r="G19" s="9" t="inlineStr">
        <is>
          <t>Pháp lý</t>
        </is>
      </c>
      <c r="H19" s="11" t="inlineStr"/>
      <c r="I19" s="12" t="inlineStr"/>
      <c r="J19" s="11" t="inlineStr"/>
    </row>
    <row r="20" ht="45" customHeight="1">
      <c r="A20" s="9" t="n">
        <v>5</v>
      </c>
      <c r="B20" s="9" t="inlineStr">
        <is>
          <t>Điều 1</t>
        </is>
      </c>
      <c r="C20" s="9" t="inlineStr">
        <is>
          <t>Điều 2.3</t>
        </is>
      </c>
      <c r="D20" s="10" t="inlineStr">
        <is>
          <t>Số lượng thực tế dao động ±5–10%, thanh toán theo thực tế</t>
        </is>
      </c>
      <c r="E20" s="10" t="inlineStr">
        <is>
          <t>Dung sai ±3%, không vượt số lượng đặt; thiếu hụt do lỗi Bên nhận gia công phải sản xuất bù trong 10 ngày làm việc</t>
        </is>
      </c>
      <c r="F20" s="10" t="inlineStr">
        <is>
          <t>Bao bì do DS nhập khẩu theo số lượng cố định; dung sai 10% gây thiếu hàng/thừa chi phí</t>
        </is>
      </c>
      <c r="G20" s="9" t="inlineStr">
        <is>
          <t>Thương mại</t>
        </is>
      </c>
      <c r="H20" s="11" t="inlineStr"/>
      <c r="I20" s="12" t="inlineStr"/>
      <c r="J20" s="11" t="inlineStr"/>
    </row>
    <row r="21" ht="75" customHeight="1">
      <c r="A21" s="9" t="n">
        <v>6</v>
      </c>
      <c r="B21" s="9" t="inlineStr">
        <is>
          <t>Điều 1</t>
        </is>
      </c>
      <c r="C21" s="9" t="inlineStr">
        <is>
          <t>Điều 2.2; Phụ lục 03</t>
        </is>
      </c>
      <c r="D21" s="10" t="inlineStr">
        <is>
          <t>Đơn giá 59.800 đ/hộp trọn gói, không bóc tách</t>
        </is>
      </c>
      <c r="E21" s="10" t="inlineStr">
        <is>
          <t>Giữ đơn giá 59.800 đ; bổ sung Phụ lục 03 cấu thành giá (giá dịch/kg, định mức g/chai, công chiết rót – dán nhãn – đóng hộp – co màng – đóng thùng); giá cố định cho đơn hàng và có hiệu lực 06 tháng cho đơn tái đặt</t>
        </is>
      </c>
      <c r="F21" s="10" t="inlineStr">
        <is>
          <t>Minh bạch chi phí, làm cơ sở đối chiếu hao hụt và đơn hàng sau</t>
        </is>
      </c>
      <c r="G21" s="9" t="inlineStr">
        <is>
          <t>Thương mại</t>
        </is>
      </c>
      <c r="H21" s="11" t="inlineStr"/>
      <c r="I21" s="12" t="inlineStr"/>
      <c r="J21" s="11" t="inlineStr"/>
    </row>
    <row r="22" ht="60" customHeight="1">
      <c r="A22" s="9" t="n">
        <v>7</v>
      </c>
      <c r="B22" s="9" t="inlineStr">
        <is>
          <t>Điều 1</t>
        </is>
      </c>
      <c r="C22" s="9" t="inlineStr">
        <is>
          <t>Điều 3.1; Phụ lục 01</t>
        </is>
      </c>
      <c r="D22" s="10" t="inlineStr">
        <is>
          <t>Chỉ ghi LOT công thức 26I261, không đính kèm yêu cầu</t>
        </is>
      </c>
      <c r="E22" s="10" t="inlineStr">
        <is>
          <t>Phụ lục 01: danh mục 22 thành phần (INCI chuẩn hóa) + khoảng hàm lượng tối thiểu của 08 thành phần chủ chốt + giới hạn an toàn. Shizencos được bảo mật % của các thành phần còn lại</t>
        </is>
      </c>
      <c r="F22" s="10" t="inlineStr">
        <is>
          <t>Bảo đảm công dụng tương đương benchmark mà không yêu cầu công khai toàn bộ công thức; không làm thay đổi đơn giá đã báo</t>
        </is>
      </c>
      <c r="G22" s="9" t="inlineStr">
        <is>
          <t>Chất lượng</t>
        </is>
      </c>
      <c r="H22" s="11" t="inlineStr"/>
      <c r="I22" s="12" t="inlineStr"/>
      <c r="J22" s="11" t="inlineStr"/>
    </row>
    <row r="23" ht="60" customHeight="1">
      <c r="A23" s="9" t="n">
        <v>8</v>
      </c>
      <c r="B23" s="9" t="inlineStr">
        <is>
          <t>Điều 1</t>
        </is>
      </c>
      <c r="C23" s="9" t="inlineStr">
        <is>
          <t>Điều 3.3</t>
        </is>
      </c>
      <c r="D23" s="10" t="inlineStr">
        <is>
          <t>Mẫu chốt theo dõi tối thiểu 07–14 ngày</t>
        </is>
      </c>
      <c r="E23" s="10" t="inlineStr">
        <is>
          <t>Mẫu chốt có chữ ký hai bên + báo cáo ổn định tăng tốc (40–45 °C) tối thiểu 04 tuần trước sản xuất đại trà, trừ khi DS chấp thuận sản xuất sớm bằng văn bản</t>
        </is>
      </c>
      <c r="F23" s="10" t="inlineStr">
        <is>
          <t>Sản phẩm dầu chứa tinh dầu và dầu giàu omega dễ ôi/đổi mùi; 7–14 ngày chưa đủ phát hiện</t>
        </is>
      </c>
      <c r="G23" s="9" t="inlineStr">
        <is>
          <t>Chất lượng</t>
        </is>
      </c>
      <c r="H23" s="11" t="inlineStr"/>
      <c r="I23" s="12" t="inlineStr"/>
      <c r="J23" s="11" t="inlineStr"/>
    </row>
    <row r="24" ht="45" customHeight="1">
      <c r="A24" s="9" t="n">
        <v>9</v>
      </c>
      <c r="B24" s="9" t="inlineStr">
        <is>
          <t>Điều 1</t>
        </is>
      </c>
      <c r="C24" s="9" t="inlineStr">
        <is>
          <t>Điều 3.5</t>
        </is>
      </c>
      <c r="D24" s="10" t="inlineStr">
        <is>
          <t>Biến thiên tự nhiên về màu, mùi giữa các lô không coi là lỗi</t>
        </is>
      </c>
      <c r="E24" s="10" t="inlineStr">
        <is>
          <t>Giữ nguyên, nhưng chỉ chấp nhận trong giới hạn Tiêu chuẩn cơ sở (Phụ lục 02); ngoài giới hạn là lỗi sản phẩm</t>
        </is>
      </c>
      <c r="F24" s="10" t="inlineStr">
        <is>
          <t>Cần ngưỡng đo được để nghiệm thu</t>
        </is>
      </c>
      <c r="G24" s="9" t="inlineStr">
        <is>
          <t>Chất lượng</t>
        </is>
      </c>
      <c r="H24" s="11" t="inlineStr"/>
      <c r="I24" s="12" t="inlineStr"/>
      <c r="J24" s="11" t="inlineStr"/>
    </row>
    <row r="25" ht="60" customHeight="1">
      <c r="A25" s="9" t="n">
        <v>10</v>
      </c>
      <c r="B25" s="9" t="inlineStr">
        <is>
          <t>Điều 2</t>
        </is>
      </c>
      <c r="C25" s="9" t="inlineStr">
        <is>
          <t>Điều 7</t>
        </is>
      </c>
      <c r="D25" s="10" t="inlineStr">
        <is>
          <t>Thanh toán 70% sau ký; 30% khi Bên gia công thông báo hoàn tất</t>
        </is>
      </c>
      <c r="E25" s="10" t="inlineStr">
        <is>
          <t>Đợt 1: 50% trong 05 ngày làm việc sau ký HĐ và nhận đề nghị thanh toán. Đợt 2: 50% trong 07 ngày làm việc sau biên bản nghiệm thu + COA lô + hóa đơn GTGT + biên bản đối chiếu bao bì</t>
        </is>
      </c>
      <c r="F25" s="10" t="inlineStr">
        <is>
          <t>Gắn thanh toán với kết quả nghiệm thu chất lượng</t>
        </is>
      </c>
      <c r="G25" s="9" t="inlineStr">
        <is>
          <t>Thương mại</t>
        </is>
      </c>
      <c r="H25" s="11" t="inlineStr"/>
      <c r="I25" s="12" t="inlineStr"/>
      <c r="J25" s="11" t="inlineStr"/>
    </row>
    <row r="26" ht="45" customHeight="1">
      <c r="A26" s="9" t="n">
        <v>11</v>
      </c>
      <c r="B26" s="9" t="inlineStr">
        <is>
          <t>Điều 2</t>
        </is>
      </c>
      <c r="C26" s="9" t="inlineStr">
        <is>
          <t>Điều 7.4</t>
        </is>
      </c>
      <c r="D26" s="10" t="inlineStr">
        <is>
          <t>Lãi chậm trả theo lãi suất nợ quá hạn của Vietcombank</t>
        </is>
      </c>
      <c r="E26" s="10" t="inlineStr">
        <is>
          <t>Lãi chậm trả theo Điều 306 Luật Thương mại (lãi suất nợ quá hạn trung bình trên thị trường tại thời điểm thanh toán)</t>
        </is>
      </c>
      <c r="F26" s="10" t="inlineStr">
        <is>
          <t>Theo quy định pháp luật, tránh tranh chấp về cách xác định</t>
        </is>
      </c>
      <c r="G26" s="9" t="inlineStr">
        <is>
          <t>Pháp lý</t>
        </is>
      </c>
      <c r="H26" s="11" t="inlineStr"/>
      <c r="I26" s="12" t="inlineStr"/>
      <c r="J26" s="11" t="inlineStr"/>
    </row>
    <row r="27" ht="60" customHeight="1">
      <c r="A27" s="9" t="n">
        <v>12</v>
      </c>
      <c r="B27" s="9" t="inlineStr">
        <is>
          <t>Điều 3</t>
        </is>
      </c>
      <c r="C27" s="9" t="inlineStr">
        <is>
          <t>Điều 4.4</t>
        </is>
      </c>
      <c r="D27" s="10" t="inlineStr">
        <is>
          <t>Hao hụt bao bì 3–10% tùy danh mục</t>
        </is>
      </c>
      <c r="E27" s="10" t="inlineStr">
        <is>
          <t>Chai/nắp/dropper ≤ 3%; nhãn/hộp/tem ≤ 2%. Vượt định mức do lỗi Bên nhận gia công thì bồi hoàn theo giá mua; đối chiếu và trả bao bì dư trong 07 ngày làm việc sau sản xuất</t>
        </is>
      </c>
      <c r="F27" s="10" t="inlineStr">
        <is>
          <t>Bao bì nhập khẩu, giá cao, lead time dài</t>
        </is>
      </c>
      <c r="G27" s="9" t="inlineStr">
        <is>
          <t>Thương mại</t>
        </is>
      </c>
      <c r="H27" s="11" t="inlineStr"/>
      <c r="I27" s="12" t="inlineStr"/>
      <c r="J27" s="11" t="inlineStr"/>
    </row>
    <row r="28" ht="45" customHeight="1">
      <c r="A28" s="9" t="n">
        <v>13</v>
      </c>
      <c r="B28" s="9" t="inlineStr">
        <is>
          <t>Điều 3</t>
        </is>
      </c>
      <c r="C28" s="9" t="inlineStr">
        <is>
          <t>Phụ lục 03</t>
        </is>
      </c>
      <c r="D28" s="10" t="inlineStr">
        <is>
          <t>Bảng bao bì thiếu mục 3 và hình ảnh</t>
        </is>
      </c>
      <c r="E28" s="10" t="inlineStr">
        <is>
          <t>Phụ lục 03 liệt kê đầy đủ: chai 50 ml, nắp dropper/pump, nhãn, hộp, tem niêm, thùng carton; quy cách đóng thùng</t>
        </is>
      </c>
      <c r="F28" s="10" t="inlineStr">
        <is>
          <t>Xác định đúng phạm vi cung cấp</t>
        </is>
      </c>
      <c r="G28" s="9" t="inlineStr">
        <is>
          <t>Vận hành</t>
        </is>
      </c>
      <c r="H28" s="11" t="inlineStr"/>
      <c r="I28" s="12" t="inlineStr"/>
      <c r="J28" s="11" t="inlineStr"/>
    </row>
    <row r="29" ht="60" customHeight="1">
      <c r="A29" s="9" t="n">
        <v>14</v>
      </c>
      <c r="B29" s="9" t="inlineStr">
        <is>
          <t>Điều 3</t>
        </is>
      </c>
      <c r="C29" s="9" t="inlineStr">
        <is>
          <t>Điều 4.6</t>
        </is>
      </c>
      <c r="D29" s="10" t="inlineStr">
        <is>
          <t>DS gửi thiết kế cho Shizencos kiểm tra; in sai thì Shizencos không nhận</t>
        </is>
      </c>
      <c r="E29" s="10" t="inlineStr">
        <is>
          <t>Shizencos phản hồi bằng văn bản trong 03 ngày làm việc; nếu Shizencos đã xác nhận mà nội dung sai so với hồ sơ công bố do Shizencos soạn thì Shizencos chịu chi phí in lại</t>
        </is>
      </c>
      <c r="F29" s="10" t="inlineStr">
        <is>
          <t>Phân định trách nhiệm kiểm tra nội dung pháp lý của nhãn</t>
        </is>
      </c>
      <c r="G29" s="9" t="inlineStr">
        <is>
          <t>Pháp lý</t>
        </is>
      </c>
      <c r="H29" s="11" t="inlineStr"/>
      <c r="I29" s="12" t="inlineStr"/>
      <c r="J29" s="11" t="inlineStr"/>
    </row>
    <row r="30" ht="75" customHeight="1">
      <c r="A30" s="9" t="n">
        <v>15</v>
      </c>
      <c r="B30" s="9" t="inlineStr">
        <is>
          <t>Điều 3</t>
        </is>
      </c>
      <c r="C30" s="9" t="inlineStr">
        <is>
          <t>Điều 4.1–4.3</t>
        </is>
      </c>
      <c r="D30" s="10" t="inlineStr">
        <is>
          <t>Quy định nguyên liệu Bên thuê cung cấp (không áp dụng)</t>
        </is>
      </c>
      <c r="E30" s="10" t="inlineStr">
        <is>
          <t>Shizencos cung cấp toàn bộ nguyên liệu kèm COA/MSDS; IFRA &amp; bảng allergen cho tinh dầu; COA Bakuchiol có chỉ tiêu psoralen; không đổi NCC/grade thành phần chủ chốt khi chưa thông báo bằng văn bản</t>
        </is>
      </c>
      <c r="F30" s="10" t="inlineStr">
        <is>
          <t>Phục vụ PIF, ghi nhãn allergen và ổn định chất lượng giữa các lô</t>
        </is>
      </c>
      <c r="G30" s="9" t="inlineStr">
        <is>
          <t>Chất lượng</t>
        </is>
      </c>
      <c r="H30" s="11" t="inlineStr"/>
      <c r="I30" s="12" t="inlineStr"/>
      <c r="J30" s="11" t="inlineStr"/>
    </row>
    <row r="31" ht="75" customHeight="1">
      <c r="A31" s="9" t="n">
        <v>16</v>
      </c>
      <c r="B31" s="9" t="inlineStr">
        <is>
          <t>Điều 4</t>
        </is>
      </c>
      <c r="C31" s="9" t="inlineStr">
        <is>
          <t>Điều 6.1–6.2</t>
        </is>
      </c>
      <c r="D31" s="10" t="inlineStr">
        <is>
          <t>Giao hàng 07–14 ngày làm việc sau khi đủ bao bì; không có chế tài chậm giao</t>
        </is>
      </c>
      <c r="E31" s="10" t="inlineStr">
        <is>
          <t>Tối đa 14 ngày làm việc; Shizencos xác nhận lịch sản xuất trong 03 ngày làm việc từ khi nhận PO; chậm giao phạt 0,5%/ngày trên giá trị phần chậm, tối đa 8%; chậm quá 15 ngày DS được hủy phần chậm và nhận lại tiền đã tạm ứng</t>
        </is>
      </c>
      <c r="F31" s="10" t="inlineStr">
        <is>
          <t>Bảo đảm kế hoạch ra mắt; mức phạt trong giới hạn Điều 301 Luật Thương mại</t>
        </is>
      </c>
      <c r="G31" s="9" t="inlineStr">
        <is>
          <t>Thương mại</t>
        </is>
      </c>
      <c r="H31" s="11" t="inlineStr"/>
      <c r="I31" s="12" t="inlineStr"/>
      <c r="J31" s="11" t="inlineStr"/>
    </row>
    <row r="32" ht="60" customHeight="1">
      <c r="A32" s="9" t="n">
        <v>17</v>
      </c>
      <c r="B32" s="9" t="inlineStr">
        <is>
          <t>Điều 4</t>
        </is>
      </c>
      <c r="C32" s="9" t="inlineStr">
        <is>
          <t>Điều 6.4</t>
        </is>
      </c>
      <c r="D32" s="10" t="inlineStr">
        <is>
          <t>Chưa quy định thời điểm chuyển rủi ro</t>
        </is>
      </c>
      <c r="E32" s="10" t="inlineStr">
        <is>
          <t>Rủi ro chuyển cho DS khi ký biên bản giao nhận tại kho Shizencos; nếu Shizencos thuê vận chuyển hộ thì báo giá trước, DS chấp thuận bằng văn bản</t>
        </is>
      </c>
      <c r="F32" s="10" t="inlineStr">
        <is>
          <t>Rõ trách nhiệm hàng hóa trong vận chuyển</t>
        </is>
      </c>
      <c r="G32" s="9" t="inlineStr">
        <is>
          <t>Vận hành</t>
        </is>
      </c>
      <c r="H32" s="11" t="inlineStr"/>
      <c r="I32" s="12" t="inlineStr"/>
      <c r="J32" s="11" t="inlineStr"/>
    </row>
    <row r="33" ht="60" customHeight="1">
      <c r="A33" s="9" t="n">
        <v>18</v>
      </c>
      <c r="B33" s="9" t="inlineStr">
        <is>
          <t>—</t>
        </is>
      </c>
      <c r="C33" s="9" t="inlineStr">
        <is>
          <t>Điều 6.5</t>
        </is>
      </c>
      <c r="D33" s="10" t="inlineStr">
        <is>
          <t>Chưa có điều khoản nghiệm thu</t>
        </is>
      </c>
      <c r="E33" s="10" t="inlineStr">
        <is>
          <t>Nghiệm thu số lượng khi nhận; nghiệm thu chất lượng trong 10 ngày làm việc theo TCCS &amp; COA; khuyết tật ẩn được khiếu nại trong thời hạn bảo hành</t>
        </is>
      </c>
      <c r="F33" s="10" t="inlineStr">
        <is>
          <t>Căn cứ thanh toán đợt 2 và bảo hành</t>
        </is>
      </c>
      <c r="G33" s="9" t="inlineStr">
        <is>
          <t>Chất lượng</t>
        </is>
      </c>
      <c r="H33" s="11" t="inlineStr"/>
      <c r="I33" s="12" t="inlineStr"/>
      <c r="J33" s="11" t="inlineStr"/>
    </row>
    <row r="34" ht="105" customHeight="1">
      <c r="A34" s="9" t="n">
        <v>19</v>
      </c>
      <c r="B34" s="9" t="inlineStr">
        <is>
          <t>Điều 5</t>
        </is>
      </c>
      <c r="C34" s="9" t="inlineStr">
        <is>
          <t>Điều 8</t>
        </is>
      </c>
      <c r="D34" s="10" t="inlineStr">
        <is>
          <t>Bảo hành độ ổn định 06 tháng; chỉ “phối hợp xử lý” trong 15–30 ngày</t>
        </is>
      </c>
      <c r="E34" s="10" t="inlineStr">
        <is>
          <t>Bảo hành đến hết hạn sử dụng đối với lỗi sản xuất/nguyên liệu; phản hồi khiếu nại trong 03 ngày làm việc; giám định độc lập trên mẫu lưu, bên có lỗi chịu phí; nếu lỗi do Shizencos: sản xuất lại/đổi hàng trong 15 ngày hoặc hoàn tiền, chịu chi phí thu hồi – vận chuyển – tiêu hủy và bồi thường thiệt hại thực tế</t>
        </is>
      </c>
      <c r="F34" s="10" t="inlineStr">
        <is>
          <t>Sản phẩm lưu hành đến hết HSD; nghĩa vụ bồi thường theo Điều 302–303 Luật Thương mại</t>
        </is>
      </c>
      <c r="G34" s="9" t="inlineStr">
        <is>
          <t>Chất lượng</t>
        </is>
      </c>
      <c r="H34" s="11" t="inlineStr"/>
      <c r="I34" s="12" t="inlineStr"/>
      <c r="J34" s="11" t="inlineStr"/>
    </row>
    <row r="35" ht="45" customHeight="1">
      <c r="A35" s="9" t="n">
        <v>20</v>
      </c>
      <c r="B35" s="9" t="inlineStr">
        <is>
          <t>Điều 5</t>
        </is>
      </c>
      <c r="C35" s="9" t="inlineStr">
        <is>
          <t>Điều 8.4</t>
        </is>
      </c>
      <c r="D35" s="10" t="inlineStr">
        <is>
          <t>Miễn trách nhiệm khi bên thuê yêu cầu sản xuất nhanh</t>
        </is>
      </c>
      <c r="E35" s="10" t="inlineStr">
        <is>
          <t>Chỉ miễn trừ khi DS yêu cầu rút ngắn bằng văn bản và Shizencos đã cảnh báo cụ thể hạng mục kiểm tra bị lược bỏ</t>
        </is>
      </c>
      <c r="F35" s="10" t="inlineStr">
        <is>
          <t>Tránh miễn trừ chung chung</t>
        </is>
      </c>
      <c r="G35" s="9" t="inlineStr">
        <is>
          <t>Chất lượng</t>
        </is>
      </c>
      <c r="H35" s="11" t="inlineStr"/>
      <c r="I35" s="12" t="inlineStr"/>
      <c r="J35" s="11" t="inlineStr"/>
    </row>
    <row r="36" ht="45" customHeight="1">
      <c r="A36" s="9" t="n">
        <v>21</v>
      </c>
      <c r="B36" s="9" t="inlineStr">
        <is>
          <t>Điều 6</t>
        </is>
      </c>
      <c r="C36" s="9" t="inlineStr">
        <is>
          <t>Điều 3.4</t>
        </is>
      </c>
      <c r="D36" s="10" t="inlineStr">
        <is>
          <t>Mẫu sản xuất giống mẫu chốt về ngoại quan “từ 90%”</t>
        </is>
      </c>
      <c r="E36" s="10" t="inlineStr">
        <is>
          <t>Thay bằng TCCS định lượng tại Phụ lục 02 (ngoại quan, mùi, tỷ trọng, peroxide, vi sinh, kim loại nặng, hàm lượng Bakuchiol)</t>
        </is>
      </c>
      <c r="F36" s="10" t="inlineStr">
        <is>
          <t>“90%” không đo được</t>
        </is>
      </c>
      <c r="G36" s="9" t="inlineStr">
        <is>
          <t>Chất lượng</t>
        </is>
      </c>
      <c r="H36" s="11" t="inlineStr"/>
      <c r="I36" s="12" t="inlineStr"/>
      <c r="J36" s="11" t="inlineStr"/>
    </row>
    <row r="37" ht="90" customHeight="1">
      <c r="A37" s="9" t="n">
        <v>22</v>
      </c>
      <c r="B37" s="9" t="inlineStr">
        <is>
          <t>Điều 6</t>
        </is>
      </c>
      <c r="C37" s="9" t="inlineStr">
        <is>
          <t>Điều 5.1–5.3</t>
        </is>
      </c>
      <c r="D37" s="10" t="inlineStr">
        <is>
          <t>Shizencos hoàn thành công bố, cung cấp bản sao y cho DS</t>
        </is>
      </c>
      <c r="E37" s="10" t="inlineStr">
        <is>
          <t>DS đứng tên tổ chức chịu trách nhiệm đưa sản phẩm ra thị trường; Shizencos soạn và hoàn thiện hồ sơ trong 10 ngày làm việc sau mẫu chốt, cung cấp Giấy chứng nhận đủ điều kiện sản xuất mỹ phẩm còn hiệu lực; số tiếp nhận phiếu công bố thuộc DS</t>
        </is>
      </c>
      <c r="F37" s="10" t="inlineStr">
        <is>
          <t>Phù hợp Điều 7 dự thảo (“số công bố thuộc quyền sở hữu Bên B”); DS chủ động lưu hành, quảng cáo, bán trên sàn TMĐT</t>
        </is>
      </c>
      <c r="G37" s="9" t="inlineStr">
        <is>
          <t>Pháp lý</t>
        </is>
      </c>
      <c r="H37" s="11" t="inlineStr"/>
      <c r="I37" s="12" t="inlineStr"/>
      <c r="J37" s="11" t="inlineStr"/>
    </row>
    <row r="38" ht="75" customHeight="1">
      <c r="A38" s="9" t="n">
        <v>23</v>
      </c>
      <c r="B38" s="9" t="inlineStr">
        <is>
          <t>—</t>
        </is>
      </c>
      <c r="C38" s="9" t="inlineStr">
        <is>
          <t>Điều 5.4</t>
        </is>
      </c>
      <c r="D38" s="10" t="inlineStr">
        <is>
          <t>Chưa quy định hồ sơ thông tin sản phẩm (PIF)</t>
        </is>
      </c>
      <c r="E38" s="10" t="inlineStr">
        <is>
          <t>Shizencos lập PIF, bàn giao DS bản sao các phần không chứa công thức định lượng; phần công thức định lượng do Shizencos lưu và xuất trình trong 03 ngày làm việc khi cơ quan có thẩm quyền yêu cầu; lưu tối thiểu 03 năm sau lô cuối cùng</t>
        </is>
      </c>
      <c r="F38" s="10" t="inlineStr">
        <is>
          <t>Tổ chức đứng tên công bố có nghĩa vụ về PIF (Thông tư 06/2011/TT-BYT); vẫn bảo mật công thức cho Shizencos</t>
        </is>
      </c>
      <c r="G38" s="9" t="inlineStr">
        <is>
          <t>Pháp lý</t>
        </is>
      </c>
      <c r="H38" s="11" t="inlineStr"/>
      <c r="I38" s="12" t="inlineStr"/>
      <c r="J38" s="11" t="inlineStr"/>
    </row>
    <row r="39" ht="45" customHeight="1">
      <c r="A39" s="9" t="n">
        <v>24</v>
      </c>
      <c r="B39" s="9" t="inlineStr">
        <is>
          <t>Điều 6</t>
        </is>
      </c>
      <c r="C39" s="9" t="inlineStr">
        <is>
          <t>Điều 5.5</t>
        </is>
      </c>
      <c r="D39" s="10" t="inlineStr">
        <is>
          <t>Sau 01 năm không sản xuất, Shizencos được yêu cầu Sở Y tế thu hồi số công bố</t>
        </is>
      </c>
      <c r="E39" s="10" t="inlineStr">
        <is>
          <t>Bỏ. Shizencos chỉ thực hiện thủ tục liên quan số công bố khi DS đồng ý bằng văn bản hoặc theo yêu cầu cơ quan nhà nước</t>
        </is>
      </c>
      <c r="F39" s="10" t="inlineStr">
        <is>
          <t>Số công bố thuộc DS; thu hồi đơn phương ảnh hưởng hàng đang lưu hành</t>
        </is>
      </c>
      <c r="G39" s="9" t="inlineStr">
        <is>
          <t>Pháp lý</t>
        </is>
      </c>
      <c r="H39" s="11" t="inlineStr"/>
      <c r="I39" s="12" t="inlineStr"/>
      <c r="J39" s="11" t="inlineStr"/>
    </row>
    <row r="40" ht="60" customHeight="1">
      <c r="A40" s="9" t="n">
        <v>25</v>
      </c>
      <c r="B40" s="9" t="inlineStr">
        <is>
          <t>Điều 6</t>
        </is>
      </c>
      <c r="C40" s="9" t="inlineStr">
        <is>
          <t>Điều 9.3; 12.4</t>
        </is>
      </c>
      <c r="D40" s="10" t="inlineStr">
        <is>
          <t>DS dùng hồ sơ công bố gia công bên thứ ba: bồi thường 50% giá trị đơn hàng bên thứ ba</t>
        </is>
      </c>
      <c r="E40" s="10" t="inlineStr">
        <is>
          <t>DS không sử dụng tài liệu kỹ thuật/công thức của Shizencos cho bên thứ ba; vi phạm chịu phạt tối đa 8% và bồi thường thiệt hại thực tế. Áp dụng hai chiều</t>
        </is>
      </c>
      <c r="F40" s="10" t="inlineStr">
        <is>
          <t>Mức bồi thường ấn định 50% không gắn với thiệt hại thực tế (Điều 302–303 Luật Thương mại); phạt vi phạm tối đa 8% (Điều 301)</t>
        </is>
      </c>
      <c r="G40" s="9" t="inlineStr">
        <is>
          <t>Pháp lý</t>
        </is>
      </c>
      <c r="H40" s="11" t="inlineStr"/>
      <c r="I40" s="12" t="inlineStr"/>
      <c r="J40" s="11" t="inlineStr"/>
    </row>
    <row r="41" ht="45" customHeight="1">
      <c r="A41" s="9" t="n">
        <v>26</v>
      </c>
      <c r="B41" s="9" t="inlineStr">
        <is>
          <t>Điều 6, 7</t>
        </is>
      </c>
      <c r="C41" s="9" t="inlineStr">
        <is>
          <t>Điều 11.6</t>
        </is>
      </c>
      <c r="D41" s="10" t="inlineStr">
        <is>
          <t>Phí lưu kho 180.000 đ/m²/tháng (Điều 6) và /m³/tháng (Điều 7); lưu miễn phí 15 ngày</t>
        </is>
      </c>
      <c r="E41" s="10" t="inlineStr">
        <is>
          <t>Thống nhất 180.000 đ/m³/tháng (chưa VAT); miễn phí 30 ngày kể từ ngày thông báo hoàn thành</t>
        </is>
      </c>
      <c r="F41" s="10" t="inlineStr">
        <is>
          <t>Mâu thuẫn đơn vị tính trong dự thảo</t>
        </is>
      </c>
      <c r="G41" s="9" t="inlineStr">
        <is>
          <t>Thương mại</t>
        </is>
      </c>
      <c r="H41" s="11" t="inlineStr"/>
      <c r="I41" s="12" t="inlineStr"/>
      <c r="J41" s="11" t="inlineStr"/>
    </row>
    <row r="42" ht="60" customHeight="1">
      <c r="A42" s="9" t="n">
        <v>27</v>
      </c>
      <c r="B42" s="9" t="inlineStr">
        <is>
          <t>Điều 6</t>
        </is>
      </c>
      <c r="C42" s="9" t="inlineStr">
        <is>
          <t>Điều 11.7</t>
        </is>
      </c>
      <c r="D42" s="10" t="inlineStr">
        <is>
          <t>Sau 7 ngày làm việc, Shizencos toàn quyền thanh lý/tiêu hủy hàng</t>
        </is>
      </c>
      <c r="E42" s="10" t="inlineStr">
        <is>
          <t>Không được bán/thanh lý hàng mang nhãn hiệu DS; chỉ tiêu hủy sau 02 lần thông báo cách nhau 15 ngày và có đại diện DS chứng kiến hoặc DS đồng ý bằng văn bản</t>
        </is>
      </c>
      <c r="F42" s="10" t="inlineStr">
        <is>
          <t>Bảo vệ nhãn hiệu, tránh hàng trôi nổi thị trường</t>
        </is>
      </c>
      <c r="G42" s="9" t="inlineStr">
        <is>
          <t>Pháp lý</t>
        </is>
      </c>
      <c r="H42" s="11" t="inlineStr"/>
      <c r="I42" s="12" t="inlineStr"/>
      <c r="J42" s="11" t="inlineStr"/>
    </row>
    <row r="43" ht="45" customHeight="1">
      <c r="A43" s="9" t="n">
        <v>28</v>
      </c>
      <c r="B43" s="9" t="inlineStr">
        <is>
          <t>Điều 7</t>
        </is>
      </c>
      <c r="C43" s="9" t="inlineStr">
        <is>
          <t>Điều 10</t>
        </is>
      </c>
      <c r="D43" s="10" t="inlineStr">
        <is>
          <t>Tái sản xuất trong vòng 06 tháng</t>
        </is>
      </c>
      <c r="E43" s="10" t="inlineStr">
        <is>
          <t>Bỏ nghĩa vụ; DS thông báo kế hoạch đặt hàng khi có</t>
        </is>
      </c>
      <c r="F43" s="10" t="inlineStr">
        <is>
          <t>Không ràng buộc sản lượng tối thiểu</t>
        </is>
      </c>
      <c r="G43" s="9" t="inlineStr">
        <is>
          <t>Thương mại</t>
        </is>
      </c>
      <c r="H43" s="11" t="inlineStr"/>
      <c r="I43" s="12" t="inlineStr"/>
      <c r="J43" s="11" t="inlineStr"/>
    </row>
    <row r="44" ht="60" customHeight="1">
      <c r="A44" s="9" t="n">
        <v>29</v>
      </c>
      <c r="B44" s="9" t="inlineStr">
        <is>
          <t>Điều 7</t>
        </is>
      </c>
      <c r="C44" s="9" t="inlineStr">
        <is>
          <t>Điều 12.3</t>
        </is>
      </c>
      <c r="D44" s="10" t="inlineStr">
        <is>
          <t>DS đơn phương hủy: trả toàn bộ chi phí đơn hàng + phạt 20% tổng giá trị HĐ</t>
        </is>
      </c>
      <c r="E44" s="10" t="inlineStr">
        <is>
          <t>DS thanh toán chi phí thực tế hợp lý đã phát sinh có chứng từ (nguyên liệu mua riêng cho đơn, bán thành phẩm) + phạt tối đa 8% giá trị phần nghĩa vụ bị hủy; áp dụng tương tự với Shizencos</t>
        </is>
      </c>
      <c r="F44" s="10" t="inlineStr">
        <is>
          <t>Mức phạt 20% vượt mức tối đa 8% theo Điều 301 Luật Thương mại</t>
        </is>
      </c>
      <c r="G44" s="9" t="inlineStr">
        <is>
          <t>Pháp lý</t>
        </is>
      </c>
      <c r="H44" s="11" t="inlineStr"/>
      <c r="I44" s="12" t="inlineStr"/>
      <c r="J44" s="11" t="inlineStr"/>
    </row>
    <row r="45" ht="45" customHeight="1">
      <c r="A45" s="9" t="n">
        <v>30</v>
      </c>
      <c r="B45" s="9" t="inlineStr">
        <is>
          <t>Điều 8</t>
        </is>
      </c>
      <c r="C45" s="9" t="inlineStr">
        <is>
          <t>Điều 15</t>
        </is>
      </c>
      <c r="D45" s="10" t="inlineStr">
        <is>
          <t>Tranh chấp do “Tòa án kinh tế Tp. HCM” giải quyết</t>
        </is>
      </c>
      <c r="E45" s="10" t="inlineStr">
        <is>
          <t>Thương lượng 30 ngày; không thành thì Tòa án nhân dân có thẩm quyền theo quy định pháp luật</t>
        </is>
      </c>
      <c r="F45" s="10" t="inlineStr">
        <is>
          <t>Không có cơ quan tên “Tòa án kinh tế Tp. HCM”; ghi sai có thể gây tranh cãi về thẩm quyền</t>
        </is>
      </c>
      <c r="G45" s="9" t="inlineStr">
        <is>
          <t>Pháp lý</t>
        </is>
      </c>
      <c r="H45" s="11" t="inlineStr"/>
      <c r="I45" s="12" t="inlineStr"/>
      <c r="J45" s="11" t="inlineStr"/>
    </row>
    <row r="46" ht="90" customHeight="1">
      <c r="A46" s="9" t="n">
        <v>31</v>
      </c>
      <c r="B46" s="9" t="inlineStr">
        <is>
          <t>Điều 8</t>
        </is>
      </c>
      <c r="C46" s="9" t="inlineStr">
        <is>
          <t>Điều 9</t>
        </is>
      </c>
      <c r="D46" s="10" t="inlineStr">
        <is>
          <t>Bảo mật chung chung, không thời hạn</t>
        </is>
      </c>
      <c r="E46" s="10" t="inlineStr">
        <is>
          <t>Bảo mật hai chiều, hiệu lực đến 03 năm sau chấm dứt HĐ; Shizencos không sản xuất cho bên thứ ba sản phẩm dùng công thức 26I261 hoặc công thức gần như đồng nhất trong thời hạn HĐ và 24 tháng sau đó; nhãn hiệu, thiết kế, thông tin khách hàng thuộc DS</t>
        </is>
      </c>
      <c r="F46" s="10" t="inlineStr">
        <is>
          <t>Bảo vệ khoản đầu tư phát triển sản phẩm của DS; Shizencos vẫn giữ quyền với bí quyết công thức</t>
        </is>
      </c>
      <c r="G46" s="9" t="inlineStr">
        <is>
          <t>Pháp lý</t>
        </is>
      </c>
      <c r="H46" s="11" t="inlineStr"/>
      <c r="I46" s="12" t="inlineStr"/>
      <c r="J46" s="11" t="inlineStr"/>
    </row>
    <row r="47" ht="45" customHeight="1">
      <c r="A47" s="9" t="n">
        <v>32</v>
      </c>
      <c r="B47" s="9" t="inlineStr">
        <is>
          <t>—</t>
        </is>
      </c>
      <c r="C47" s="9" t="inlineStr">
        <is>
          <t>Điều 11.4</t>
        </is>
      </c>
      <c r="D47" s="10" t="inlineStr">
        <is>
          <t>Chưa có quyền kiểm tra nhà máy</t>
        </is>
      </c>
      <c r="E47" s="10" t="inlineStr">
        <is>
          <t>DS được kiểm tra nhà máy/quy trình liên quan sản phẩm với thông báo trước 05 ngày làm việc</t>
        </is>
      </c>
      <c r="F47" s="10" t="inlineStr">
        <is>
          <t>Thông lệ OEM</t>
        </is>
      </c>
      <c r="G47" s="9" t="inlineStr">
        <is>
          <t>Chất lượng</t>
        </is>
      </c>
      <c r="H47" s="11" t="inlineStr"/>
      <c r="I47" s="12" t="inlineStr"/>
      <c r="J47" s="11" t="inlineStr"/>
    </row>
    <row r="48" ht="45" customHeight="1">
      <c r="A48" s="9" t="n">
        <v>33</v>
      </c>
      <c r="B48" s="9" t="inlineStr">
        <is>
          <t>—</t>
        </is>
      </c>
      <c r="C48" s="9" t="inlineStr">
        <is>
          <t>Điều 8.6</t>
        </is>
      </c>
      <c r="D48" s="10" t="inlineStr">
        <is>
          <t>Chưa có mẫu lưu</t>
        </is>
      </c>
      <c r="E48" s="10" t="inlineStr">
        <is>
          <t>Shizencos lưu mẫu mỗi lô đến hết HSD + 12 tháng; mỗi bên giữ 01 bộ mẫu chốt có niêm phong</t>
        </is>
      </c>
      <c r="F48" s="10" t="inlineStr">
        <is>
          <t>Căn cứ giám định khi có khiếu nại</t>
        </is>
      </c>
      <c r="G48" s="9" t="inlineStr">
        <is>
          <t>Chất lượng</t>
        </is>
      </c>
      <c r="H48" s="11" t="inlineStr"/>
      <c r="I48" s="12" t="inlineStr"/>
      <c r="J48" s="11" t="inlineStr"/>
    </row>
    <row r="49" ht="45" customHeight="1">
      <c r="A49" s="9" t="n">
        <v>34</v>
      </c>
      <c r="B49" s="9" t="inlineStr">
        <is>
          <t>—</t>
        </is>
      </c>
      <c r="C49" s="9" t="inlineStr">
        <is>
          <t>Điều 8.5</t>
        </is>
      </c>
      <c r="D49" s="10" t="inlineStr">
        <is>
          <t>Chưa có điều khoản thu hồi sản phẩm</t>
        </is>
      </c>
      <c r="E49" s="10" t="inlineStr">
        <is>
          <t>Thu hồi do lỗi sản xuất/nguyên liệu của Shizencos thì Shizencos chịu chi phí thu hồi, xử lý và bồi thường thiệt hại thực tế</t>
        </is>
      </c>
      <c r="F49" s="10" t="inlineStr">
        <is>
          <t>Quản lý rủi ro sau lưu hành</t>
        </is>
      </c>
      <c r="G49" s="9" t="inlineStr">
        <is>
          <t>Chất lượng</t>
        </is>
      </c>
      <c r="H49" s="11" t="inlineStr"/>
      <c r="I49" s="12" t="inlineStr"/>
      <c r="J49" s="11" t="inlineStr"/>
    </row>
    <row r="50" ht="45" customHeight="1">
      <c r="A50" s="9" t="n">
        <v>35</v>
      </c>
      <c r="B50" s="9" t="inlineStr">
        <is>
          <t>Điều 10</t>
        </is>
      </c>
      <c r="C50" s="9" t="inlineStr">
        <is>
          <t>Điều 16</t>
        </is>
      </c>
      <c r="D50" s="10" t="inlineStr">
        <is>
          <t>Lập 02 bản, mỗi bên giữ 01</t>
        </is>
      </c>
      <c r="E50" s="10" t="inlineStr">
        <is>
          <t>Lập 04 bản, mỗi bên giữ 02 (01 bản dùng cho hồ sơ công bố)</t>
        </is>
      </c>
      <c r="F50" s="10" t="inlineStr">
        <is>
          <t>Hồ sơ công bố cần bản sao hợp đồng</t>
        </is>
      </c>
      <c r="G50" s="9" t="inlineStr">
        <is>
          <t>Vận hành</t>
        </is>
      </c>
      <c r="H50" s="11" t="inlineStr"/>
      <c r="I50" s="12" t="inlineStr"/>
      <c r="J50" s="11" t="inlineStr"/>
    </row>
    <row r="52">
      <c r="A52" s="13" t="inlineStr">
        <is>
          <t>KẾT LUẬN</t>
        </is>
      </c>
    </row>
    <row r="53" ht="30" customHeight="1">
      <c r="A53" s="14" t="inlineStr">
        <is>
          <t>1.</t>
        </is>
      </c>
      <c r="B53" s="6">
        <f>"Số nội dung đã thống nhất: "&amp;(COUNTIF(I16:I50,"Đồng ý")+COUNTIF(I16:I50,"Đồng ý có sửa đổi"))&amp;" / 35; chưa thống nhất: "&amp;COUNTIF(I16:I50,"Chưa thống nhất")</f>
        <v/>
      </c>
    </row>
    <row r="54" ht="30" customHeight="1">
      <c r="A54" s="14" t="inlineStr">
        <is>
          <t>2.</t>
        </is>
      </c>
      <c r="B54" s="6" t="inlineStr">
        <is>
          <t>Yêu cầu kỹ thuật công thức (Sheet “Yeu cau ky thuat”): Shizencos xác nhận công thức 26I261 đáp ứng khoảng hàm lượng thành phần chủ chốt trong đơn giá 59.800 đ/hộp đã báo; nếu cần điều chỉnh làm thay đổi chi phí, Shizencos thông báo chênh lệch bằng văn bản trước khi làm mẫu.</t>
        </is>
      </c>
    </row>
    <row r="55" ht="30" customHeight="1">
      <c r="A55" s="14" t="inlineStr">
        <is>
          <t>3.</t>
        </is>
      </c>
      <c r="B55" s="6" t="inlineStr">
        <is>
          <t>Các nội dung chưa thống nhất: hai bên phản hồi bằng văn bản/email trước ngày …… /10/2026.</t>
        </is>
      </c>
    </row>
    <row r="56" ht="30" customHeight="1">
      <c r="A56" s="14" t="inlineStr">
        <is>
          <t>4.</t>
        </is>
      </c>
      <c r="B56" s="6" t="inlineStr">
        <is>
          <t>Shizencos gửi bản Hợp đồng hoàn chỉnh theo kết quả thương thảo; dự kiến ký Hợp đồng ngày …… /…… /2026.</t>
        </is>
      </c>
    </row>
    <row r="57" ht="30" customHeight="1">
      <c r="A57" s="14" t="inlineStr">
        <is>
          <t>5.</t>
        </is>
      </c>
      <c r="B57" s="6" t="inlineStr">
        <is>
          <t>Biên bản là căn cứ hoàn thiện Hợp đồng, không thay thế Hợp đồng chính thức.</t>
        </is>
      </c>
    </row>
    <row r="59">
      <c r="A59" s="15" t="inlineStr">
        <is>
          <t>ĐẠI DIỆN DS CORPORATION</t>
        </is>
      </c>
      <c r="F59" s="15" t="inlineStr">
        <is>
          <t>ĐẠI DIỆN SHIZENCOS</t>
        </is>
      </c>
    </row>
    <row r="60">
      <c r="A60" s="16" t="inlineStr">
        <is>
          <t>(Ký, ghi rõ họ tên)</t>
        </is>
      </c>
      <c r="F60" s="16" t="inlineStr">
        <is>
          <t>(Ký, ghi rõ họ tên)</t>
        </is>
      </c>
    </row>
  </sheetData>
  <mergeCells count="21">
    <mergeCell ref="B11:J11"/>
    <mergeCell ref="A1:E1"/>
    <mergeCell ref="A4:J4"/>
    <mergeCell ref="B8:J8"/>
    <mergeCell ref="B53:J53"/>
    <mergeCell ref="B57:J57"/>
    <mergeCell ref="B13:J13"/>
    <mergeCell ref="F59:J59"/>
    <mergeCell ref="B10:J10"/>
    <mergeCell ref="A59:D59"/>
    <mergeCell ref="B9:J9"/>
    <mergeCell ref="B55:J55"/>
    <mergeCell ref="B6:J6"/>
    <mergeCell ref="A60:D60"/>
    <mergeCell ref="B54:J54"/>
    <mergeCell ref="B7:J7"/>
    <mergeCell ref="A3:J3"/>
    <mergeCell ref="B56:J56"/>
    <mergeCell ref="F60:J60"/>
    <mergeCell ref="F1:J1"/>
    <mergeCell ref="B12:J12"/>
  </mergeCells>
  <conditionalFormatting sqref="I16:I50">
    <cfRule type="cellIs" priority="1" operator="equal" dxfId="0">
      <formula>"Đồng ý"</formula>
    </cfRule>
    <cfRule type="cellIs" priority="2" operator="equal" dxfId="1">
      <formula>"Đồng ý có sửa đổi"</formula>
    </cfRule>
    <cfRule type="cellIs" priority="3" operator="equal" dxfId="2">
      <formula>"Chưa thống nhất"</formula>
    </cfRule>
  </conditionalFormatting>
  <dataValidations count="1">
    <dataValidation sqref="I16:I50" showDropDown="0" showInputMessage="0" showErrorMessage="0" allowBlank="1" type="list">
      <formula1>"Đồng ý,Đồng ý có sửa đổi,Chưa thống nhất"</formula1>
    </dataValidation>
  </dataValidations>
  <printOptions horizontalCentered="1"/>
  <pageMargins left="0.4" right="0.4"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J48"/>
  <sheetViews>
    <sheetView workbookViewId="0">
      <pane ySplit="3" topLeftCell="A4" activePane="bottomLeft" state="frozen"/>
      <selection pane="bottomLeft" activeCell="A1" sqref="A1"/>
    </sheetView>
  </sheetViews>
  <sheetFormatPr baseColWidth="8" defaultRowHeight="15"/>
  <cols>
    <col width="6" customWidth="1" min="1" max="1"/>
    <col width="22" customWidth="1" min="2" max="2"/>
    <col width="32" customWidth="1" min="3" max="3"/>
    <col width="30" customWidth="1" min="4" max="4"/>
    <col width="10" customWidth="1" min="5" max="5"/>
    <col width="13" customWidth="1" min="6" max="6"/>
    <col width="9" customWidth="1" min="7" max="7"/>
    <col width="38" customWidth="1" min="8" max="8"/>
    <col width="20" customWidth="1" min="9" max="9"/>
    <col width="30" customWidth="1" min="10" max="10"/>
  </cols>
  <sheetData>
    <row r="1">
      <c r="A1" s="17" t="inlineStr">
        <is>
          <t>YÊU CẦU KỸ THUẬT CÔNG THỨC – THÀNH PHẦN CHỦ CHỐT (Phụ lục 01 Hợp đồng)</t>
        </is>
      </c>
    </row>
    <row r="2" ht="45" customHeight="1">
      <c r="A2" s="18" t="inlineStr">
        <is>
          <t>Shizencos được bảo mật tỷ lệ toàn bộ công thức. DS chỉ yêu cầu hàm lượng của 08 thành phần chủ chốt nằm trong khoảng [Tối thiểu – Trần] để bảo đảm công dụng tương đương sản phẩm tham chiếu, cùng các giới hạn an toàn. Yêu cầu không làm thay đổi đơn giá đã báo. Shizencos chỉ cần chọn “Cam kết đạt” hoặc ghi giải trình; không cần ghi % thực tế.</t>
        </is>
      </c>
    </row>
    <row r="4">
      <c r="A4" s="19" t="inlineStr">
        <is>
          <t>A. THÀNH PHẦN CHỦ CHỐT</t>
        </is>
      </c>
    </row>
    <row r="5">
      <c r="A5" s="8" t="inlineStr">
        <is>
          <t>STT V3</t>
        </is>
      </c>
      <c r="B5" s="8" t="inlineStr">
        <is>
          <t>Thành phần</t>
        </is>
      </c>
      <c r="C5" s="8" t="inlineStr">
        <is>
          <t>INCI</t>
        </is>
      </c>
      <c r="D5" s="8" t="inlineStr">
        <is>
          <t>Công dụng định hướng</t>
        </is>
      </c>
      <c r="E5" s="8" t="inlineStr">
        <is>
          <t>Tối thiểu (%)</t>
        </is>
      </c>
      <c r="F5" s="8" t="inlineStr">
        <is>
          <t>Khuyến nghị (%)</t>
        </is>
      </c>
      <c r="G5" s="8" t="inlineStr">
        <is>
          <t>Trần (%)</t>
        </is>
      </c>
      <c r="H5" s="8" t="inlineStr">
        <is>
          <t>Căn cứ đối chiếu sản phẩm tham chiếu</t>
        </is>
      </c>
      <c r="I5" s="8" t="inlineStr">
        <is>
          <t>Xác nhận Shizencos</t>
        </is>
      </c>
      <c r="J5" s="8" t="inlineStr">
        <is>
          <t>Giải trình (nếu có)</t>
        </is>
      </c>
    </row>
    <row r="6" ht="75" customHeight="1">
      <c r="A6" s="9" t="n">
        <v>8</v>
      </c>
      <c r="B6" s="10" t="inlineStr">
        <is>
          <t>Dầu me rừng (Amla oil)</t>
        </is>
      </c>
      <c r="C6" s="10" t="inlineStr">
        <is>
          <t>Phyllanthus Emblica Fruit Extract (+ dầu nền theo COA)</t>
        </is>
      </c>
      <c r="D6" s="10" t="inlineStr">
        <is>
          <t>1. Nuôi dưỡng da đầu – chân tóc</t>
        </is>
      </c>
      <c r="E6" s="9" t="inlineStr">
        <is>
          <t>3,0</t>
        </is>
      </c>
      <c r="F6" s="9" t="inlineStr">
        <is>
          <t>3,0 – 5,0</t>
        </is>
      </c>
      <c r="G6" s="9" t="inlineStr">
        <is>
          <t>8,0</t>
        </is>
      </c>
      <c r="H6" s="10" t="inlineStr">
        <is>
          <t>Tham chiếu: Emblica Officinalis Fruit Extract 0,80. Lượng amla thực tế đưa vào phải ≥ mức benchmark (0,8% chiết xuất). “Amla oil” thường là chiết xuất pha loãng trong dầu nền nên cần ≥ 3%; nếu là dạng đậm đặc, Shizencos quy đổi theo COA.</t>
        </is>
      </c>
      <c r="I6" s="12" t="inlineStr"/>
      <c r="J6" s="11" t="inlineStr"/>
    </row>
    <row r="7" ht="75" customHeight="1">
      <c r="A7" s="9" t="n">
        <v>12</v>
      </c>
      <c r="B7" s="10" t="inlineStr">
        <is>
          <t>BAKUCHIOL 99%</t>
        </is>
      </c>
      <c r="C7" s="10" t="inlineStr">
        <is>
          <t>Bakuchiol</t>
        </is>
      </c>
      <c r="D7" s="10" t="inlineStr">
        <is>
          <t>1. Nuôi dưỡng da đầu – chống oxy hóa, tái tạo</t>
        </is>
      </c>
      <c r="E7" s="9" t="inlineStr">
        <is>
          <t>0,5</t>
        </is>
      </c>
      <c r="F7" s="9" t="inlineStr">
        <is>
          <t>0,5 – 0,8</t>
        </is>
      </c>
      <c r="G7" s="9" t="inlineStr">
        <is>
          <t>1,0</t>
        </is>
      </c>
      <c r="H7" s="10" t="inlineStr">
        <is>
          <t>Tham chiếu: Psoralea Corylifolia Seed Extract 0,20. 0,5% là mức thấp nhất có dữ liệu hiệu quả trên da; benchmark chỉ dùng chiết xuất thô 0,2%. Đây là hoạt chất đắt nhất – mức 0,5% đủ vượt benchmark mà không đẩy giá.</t>
        </is>
      </c>
      <c r="I7" s="12" t="inlineStr"/>
      <c r="J7" s="11" t="inlineStr"/>
    </row>
    <row r="8" ht="75" customHeight="1">
      <c r="A8" s="9" t="n">
        <v>14</v>
      </c>
      <c r="B8" s="10" t="inlineStr">
        <is>
          <t>Tinh dầu hương thảo</t>
        </is>
      </c>
      <c r="C8" s="10" t="inlineStr">
        <is>
          <t>Rosmarinus Officinalis (Rosemary) Leaf Oil</t>
        </is>
      </c>
      <c r="D8" s="10" t="inlineStr">
        <is>
          <t>1. Kích thích tuần hoàn, cảm giác da đầu khỏe</t>
        </is>
      </c>
      <c r="E8" s="9" t="inlineStr">
        <is>
          <t>0,5</t>
        </is>
      </c>
      <c r="F8" s="9" t="inlineStr">
        <is>
          <t>0,8 – 1,0</t>
        </is>
      </c>
      <c r="G8" s="9" t="inlineStr">
        <is>
          <t>1,5</t>
        </is>
      </c>
      <c r="H8" s="10" t="inlineStr">
        <is>
          <t>Tham chiếu: Rosemary Leaf Extract 0,35. Dạng tinh dầu ≥ 0,5% đã mạnh hơn chiết xuất 0,35% của benchmark; trên 1,5% mùi long não gắt, dễ kích ứng.</t>
        </is>
      </c>
      <c r="I8" s="12" t="inlineStr"/>
      <c r="J8" s="11" t="inlineStr"/>
    </row>
    <row r="9" ht="75" customHeight="1">
      <c r="A9" s="9" t="n">
        <v>18</v>
      </c>
      <c r="B9" s="10" t="inlineStr">
        <is>
          <t>Tinh dầu tràm trà</t>
        </is>
      </c>
      <c r="C9" s="10" t="inlineStr">
        <is>
          <t>Melaleuca Alternifolia (Tea Tree) Leaf Oil</t>
        </is>
      </c>
      <c r="D9" s="10" t="inlineStr">
        <is>
          <t>4. Cân bằng vi sinh, giảm bong vảy</t>
        </is>
      </c>
      <c r="E9" s="9" t="inlineStr">
        <is>
          <t>0,5</t>
        </is>
      </c>
      <c r="F9" s="9" t="inlineStr">
        <is>
          <t>0,5 – 0,8</t>
        </is>
      </c>
      <c r="G9" s="9" t="inlineStr">
        <is>
          <t>1,0</t>
        </is>
      </c>
      <c r="H9" s="10" t="inlineStr">
        <is>
          <t>Tham chiếu: Basil / Holy Basil / Neem (vai trò tương đương). Dưới 0,5% gần như chỉ còn tác dụng hương; trên 1% tăng nguy cơ kích ứng khi ủ 15–40 phút.</t>
        </is>
      </c>
      <c r="I9" s="12" t="inlineStr"/>
      <c r="J9" s="11" t="inlineStr"/>
    </row>
    <row r="10" ht="75" customHeight="1">
      <c r="A10" s="9" t="n">
        <v>10</v>
      </c>
      <c r="B10" s="10" t="inlineStr">
        <is>
          <t>Dầu Neem</t>
        </is>
      </c>
      <c r="C10" s="10" t="inlineStr">
        <is>
          <t>Azadirachta Indica Seed Oil</t>
        </is>
      </c>
      <c r="D10" s="10" t="inlineStr">
        <is>
          <t>4. Làm dịu, cân bằng vi sinh</t>
        </is>
      </c>
      <c r="E10" s="9" t="inlineStr">
        <is>
          <t>0,3</t>
        </is>
      </c>
      <c r="F10" s="9" t="inlineStr">
        <is>
          <t>0,3 – 0,5</t>
        </is>
      </c>
      <c r="G10" s="9" t="inlineStr">
        <is>
          <t>0,7</t>
        </is>
      </c>
      <c r="H10" s="10" t="inlineStr">
        <is>
          <t>Tham chiếu: Melia Azadirachta (lá/hoa/extract) tổng 0,58. Tương đương tổng Neem của benchmark; trên 0,7% mùi tỏi–lưu huỳnh lấn át hương.</t>
        </is>
      </c>
      <c r="I10" s="12" t="inlineStr"/>
      <c r="J10" s="11" t="inlineStr"/>
    </row>
    <row r="11" ht="75" customHeight="1">
      <c r="A11" s="9" t="n">
        <v>11</v>
      </c>
      <c r="B11" s="10" t="inlineStr">
        <is>
          <t>Dầu chùm ngây</t>
        </is>
      </c>
      <c r="C11" s="10" t="inlineStr">
        <is>
          <t>Moringa Oleifera Seed Oil</t>
        </is>
      </c>
      <c r="D11" s="10" t="inlineStr">
        <is>
          <t>3. Bảo vệ màng lipid trước gội</t>
        </is>
      </c>
      <c r="E11" s="9" t="inlineStr">
        <is>
          <t>0,75</t>
        </is>
      </c>
      <c r="F11" s="9" t="inlineStr">
        <is>
          <t>1,0 – 2,0</t>
        </is>
      </c>
      <c r="G11" s="9" t="inlineStr">
        <is>
          <t>3,0</t>
        </is>
      </c>
      <c r="H11" s="10" t="inlineStr">
        <is>
          <t>Tham chiếu: Moringa Oleifera Seed Oil 0,75. Tối thiểu bằng benchmark; dầu bền oxy hóa, giá thấp.</t>
        </is>
      </c>
      <c r="I11" s="12" t="inlineStr"/>
      <c r="J11" s="11" t="inlineStr"/>
    </row>
    <row r="12" ht="75" customHeight="1">
      <c r="A12" s="9" t="n">
        <v>20</v>
      </c>
      <c r="B12" s="10" t="inlineStr">
        <is>
          <t>Bisabolol</t>
        </is>
      </c>
      <c r="C12" s="10" t="inlineStr">
        <is>
          <t>Bisabolol</t>
        </is>
      </c>
      <c r="D12" s="10" t="inlineStr">
        <is>
          <t>4. Làm dịu, giảm châm chích của tinh dầu</t>
        </is>
      </c>
      <c r="E12" s="9" t="inlineStr">
        <is>
          <t>0,2</t>
        </is>
      </c>
      <c r="F12" s="9" t="inlineStr">
        <is>
          <t>0,3 – 0,5</t>
        </is>
      </c>
      <c r="G12" s="9" t="inlineStr">
        <is>
          <t>1,0</t>
        </is>
      </c>
      <c r="H12" s="10" t="inlineStr">
        <is>
          <t>Tham chiếu: Aloe / Basil (vai trò làm dịu). Cần đủ để trung hòa cảm giác châm chích của hệ tinh dầu.</t>
        </is>
      </c>
      <c r="I12" s="12" t="inlineStr"/>
      <c r="J12" s="11" t="inlineStr"/>
    </row>
    <row r="13" ht="75" customHeight="1">
      <c r="A13" s="9" t="n">
        <v>22</v>
      </c>
      <c r="B13" s="10" t="inlineStr">
        <is>
          <t>Tocopherol 100</t>
        </is>
      </c>
      <c r="C13" s="10" t="inlineStr">
        <is>
          <t>Tocopherol</t>
        </is>
      </c>
      <c r="D13" s="10" t="inlineStr">
        <is>
          <t>Bảo vệ hạn dùng (chống ôi dầu)</t>
        </is>
      </c>
      <c r="E13" s="9" t="inlineStr">
        <is>
          <t>0,2</t>
        </is>
      </c>
      <c r="F13" s="9" t="inlineStr">
        <is>
          <t>0,2 – 0,3</t>
        </is>
      </c>
      <c r="G13" s="9" t="inlineStr">
        <is>
          <t>0,5</t>
        </is>
      </c>
      <c r="H13" s="10" t="inlineStr">
        <is>
          <t>Tham chiếu: Tocopherol 0,45 + chất chống oxy hóa tổng hợp 0,10. Bắt buộc để hệ dầu giàu omega (Sachi, hạt nho) không ôi trong hạn dùng; trên 0,5% có thể phản tác dụng.</t>
        </is>
      </c>
      <c r="I13" s="12" t="inlineStr"/>
      <c r="J13" s="11" t="inlineStr"/>
    </row>
    <row r="15">
      <c r="A15" s="19" t="inlineStr">
        <is>
          <t>B. GIỚI HẠN AN TOÀN</t>
        </is>
      </c>
    </row>
    <row r="16">
      <c r="A16" s="8" t="inlineStr">
        <is>
          <t>STT</t>
        </is>
      </c>
      <c r="B16" s="8" t="inlineStr">
        <is>
          <t>Thành phần / nhóm</t>
        </is>
      </c>
      <c r="C16" s="20" t="n"/>
      <c r="D16" s="8" t="inlineStr">
        <is>
          <t>Mục đích</t>
        </is>
      </c>
      <c r="E16" s="8" t="inlineStr">
        <is>
          <t>Giới hạn</t>
        </is>
      </c>
      <c r="F16" s="21" t="n"/>
      <c r="G16" s="21" t="n"/>
      <c r="H16" s="20" t="n"/>
      <c r="I16" s="8" t="inlineStr">
        <is>
          <t>Xác nhận Shizencos</t>
        </is>
      </c>
      <c r="J16" s="8" t="inlineStr">
        <is>
          <t>Giải trình</t>
        </is>
      </c>
    </row>
    <row r="17" ht="32" customHeight="1">
      <c r="A17" s="9" t="n">
        <v>1</v>
      </c>
      <c r="B17" s="10" t="inlineStr">
        <is>
          <t>Tinh dầu bạc hà – Mentha Piperita Oil</t>
        </is>
      </c>
      <c r="C17" s="20" t="n"/>
      <c r="D17" s="10" t="inlineStr">
        <is>
          <t>Tránh buốt rát da đầu</t>
        </is>
      </c>
      <c r="E17" s="9" t="inlineStr">
        <is>
          <t>≤ 0,5%</t>
        </is>
      </c>
      <c r="F17" s="21" t="n"/>
      <c r="G17" s="21" t="n"/>
      <c r="H17" s="20" t="n"/>
      <c r="I17" s="12" t="inlineStr"/>
      <c r="J17" s="11" t="inlineStr"/>
    </row>
    <row r="18" ht="32" customHeight="1">
      <c r="A18" s="9" t="n">
        <v>2</v>
      </c>
      <c r="B18" s="10" t="inlineStr">
        <is>
          <t>Tinh dầu gừng – Zingiber Officinale Root Oil</t>
        </is>
      </c>
      <c r="C18" s="20" t="n"/>
      <c r="D18" s="10" t="inlineStr">
        <is>
          <t>Tránh nóng rát</t>
        </is>
      </c>
      <c r="E18" s="9" t="inlineStr">
        <is>
          <t>≤ 0,3%</t>
        </is>
      </c>
      <c r="F18" s="21" t="n"/>
      <c r="G18" s="21" t="n"/>
      <c r="H18" s="20" t="n"/>
      <c r="I18" s="12" t="inlineStr"/>
      <c r="J18" s="11" t="inlineStr"/>
    </row>
    <row r="19" ht="32" customHeight="1">
      <c r="A19" s="9" t="n">
        <v>3</v>
      </c>
      <c r="B19" s="10" t="inlineStr">
        <is>
          <t>Tinh dầu bưởi – Citrus Maxima/Grandis Peel Oil</t>
        </is>
      </c>
      <c r="C19" s="20" t="n"/>
      <c r="D19" s="10" t="inlineStr">
        <is>
          <t>Limonene là chất gây mẫn cảm; ưu tiên loại chưng cất/FCF</t>
        </is>
      </c>
      <c r="E19" s="9" t="inlineStr">
        <is>
          <t>≤ 0,8%</t>
        </is>
      </c>
      <c r="F19" s="21" t="n"/>
      <c r="G19" s="21" t="n"/>
      <c r="H19" s="20" t="n"/>
      <c r="I19" s="12" t="inlineStr"/>
      <c r="J19" s="11" t="inlineStr"/>
    </row>
    <row r="20" ht="32" customHeight="1">
      <c r="A20" s="9" t="n">
        <v>4</v>
      </c>
      <c r="B20" s="10" t="inlineStr">
        <is>
          <t>Tổng tinh dầu (hương thảo, bưởi, tràm trà, bạc hà, oải hương, gừng, nghệ)</t>
        </is>
      </c>
      <c r="C20" s="20" t="n"/>
      <c r="D20" s="10" t="inlineStr">
        <is>
          <t>Giới hạn kích ứng &amp; allergen phải ghi nhãn</t>
        </is>
      </c>
      <c r="E20" s="9" t="inlineStr">
        <is>
          <t>≤ 3,5%</t>
        </is>
      </c>
      <c r="F20" s="21" t="n"/>
      <c r="G20" s="21" t="n"/>
      <c r="H20" s="20" t="n"/>
      <c r="I20" s="12" t="inlineStr"/>
      <c r="J20" s="11" t="inlineStr"/>
    </row>
    <row r="21" ht="32" customHeight="1">
      <c r="A21" s="9" t="n">
        <v>5</v>
      </c>
      <c r="B21" s="10" t="inlineStr">
        <is>
          <t>Nước, dầu khoáng (Mineral Oil/Paraffinum Liquidum), paraben, silicone</t>
        </is>
      </c>
      <c r="C21" s="20" t="n"/>
      <c r="D21" s="10" t="inlineStr">
        <is>
          <t>Theo định hướng sản phẩm</t>
        </is>
      </c>
      <c r="E21" s="9" t="inlineStr">
        <is>
          <t>Không chứa</t>
        </is>
      </c>
      <c r="F21" s="21" t="n"/>
      <c r="G21" s="21" t="n"/>
      <c r="H21" s="20" t="n"/>
      <c r="I21" s="12" t="inlineStr"/>
      <c r="J21" s="11" t="inlineStr"/>
    </row>
    <row r="23">
      <c r="A23" s="19" t="inlineStr">
        <is>
          <t>C. TIÊU CHÍ CẢM QUAN – HIỆU NĂNG (các thành phần nền do Shizencos tự cân đối để đạt)</t>
        </is>
      </c>
    </row>
    <row r="24">
      <c r="A24" s="8" t="inlineStr">
        <is>
          <t>STT</t>
        </is>
      </c>
      <c r="B24" s="8" t="inlineStr">
        <is>
          <t>Tiêu chí</t>
        </is>
      </c>
      <c r="C24" s="8" t="inlineStr">
        <is>
          <t>Yêu cầu</t>
        </is>
      </c>
      <c r="D24" s="21" t="n"/>
      <c r="E24" s="21" t="n"/>
      <c r="F24" s="21" t="n"/>
      <c r="G24" s="21" t="n"/>
      <c r="H24" s="20" t="n"/>
      <c r="I24" s="8" t="inlineStr">
        <is>
          <t>Xác nhận Shizencos</t>
        </is>
      </c>
      <c r="J24" s="8" t="inlineStr">
        <is>
          <t>Ghi chú</t>
        </is>
      </c>
    </row>
    <row r="25" ht="30" customHeight="1">
      <c r="A25" s="9" t="n">
        <v>1</v>
      </c>
      <c r="B25" s="10" t="inlineStr">
        <is>
          <t>Dàn trải &amp; cảm giác</t>
        </is>
      </c>
      <c r="C25" s="10" t="inlineStr">
        <is>
          <t>Lan tốt, không bết rít; khô bề mặt ≤ 5 phút</t>
        </is>
      </c>
      <c r="D25" s="21" t="n"/>
      <c r="E25" s="21" t="n"/>
      <c r="F25" s="21" t="n"/>
      <c r="G25" s="21" t="n"/>
      <c r="H25" s="20" t="n"/>
      <c r="I25" s="12" t="inlineStr"/>
      <c r="J25" s="11" t="inlineStr"/>
    </row>
    <row r="26" ht="30" customHeight="1">
      <c r="A26" s="9" t="n">
        <v>2</v>
      </c>
      <c r="B26" s="10" t="inlineStr">
        <is>
          <t>Khả năng gội sạch</t>
        </is>
      </c>
      <c r="C26" s="10" t="inlineStr">
        <is>
          <t>Sạch hoàn toàn sau 1–2 lần dầu gội thông thường, không còn màng nhờn</t>
        </is>
      </c>
      <c r="D26" s="21" t="n"/>
      <c r="E26" s="21" t="n"/>
      <c r="F26" s="21" t="n"/>
      <c r="G26" s="21" t="n"/>
      <c r="H26" s="20" t="n"/>
      <c r="I26" s="12" t="inlineStr"/>
      <c r="J26" s="11" t="inlineStr"/>
    </row>
    <row r="27" ht="30" customHeight="1">
      <c r="A27" s="9" t="n">
        <v>3</v>
      </c>
      <c r="B27" s="10" t="inlineStr">
        <is>
          <t>Châm chích / kích ứng</t>
        </is>
      </c>
      <c r="C27" s="10" t="inlineStr">
        <is>
          <t>Điểm châm chích ≤ 2/5 trên panel; không đỏ, ngứa sau ủ 40 phút</t>
        </is>
      </c>
      <c r="D27" s="21" t="n"/>
      <c r="E27" s="21" t="n"/>
      <c r="F27" s="21" t="n"/>
      <c r="G27" s="21" t="n"/>
      <c r="H27" s="20" t="n"/>
      <c r="I27" s="12" t="inlineStr"/>
      <c r="J27" s="11" t="inlineStr"/>
    </row>
    <row r="28" ht="30" customHeight="1">
      <c r="A28" s="9" t="n">
        <v>4</v>
      </c>
      <c r="B28" s="10" t="inlineStr">
        <is>
          <t>Mùi</t>
        </is>
      </c>
      <c r="C28" s="10" t="inlineStr">
        <is>
          <t>Thảo mộc – cam chanh, không lấn mùi Neem; ổn định sau 4 tuần ở 40–45 °C</t>
        </is>
      </c>
      <c r="D28" s="21" t="n"/>
      <c r="E28" s="21" t="n"/>
      <c r="F28" s="21" t="n"/>
      <c r="G28" s="21" t="n"/>
      <c r="H28" s="20" t="n"/>
      <c r="I28" s="12" t="inlineStr"/>
      <c r="J28" s="11" t="inlineStr"/>
    </row>
    <row r="29" ht="30" customHeight="1">
      <c r="A29" s="9" t="n">
        <v>5</v>
      </c>
      <c r="B29" s="10" t="inlineStr">
        <is>
          <t>Ngoại quan</t>
        </is>
      </c>
      <c r="C29" s="10" t="inlineStr">
        <is>
          <t>Dầu trong, vàng nhạt – vàng; không cặn, không tách lớp</t>
        </is>
      </c>
      <c r="D29" s="21" t="n"/>
      <c r="E29" s="21" t="n"/>
      <c r="F29" s="21" t="n"/>
      <c r="G29" s="21" t="n"/>
      <c r="H29" s="20" t="n"/>
      <c r="I29" s="12" t="inlineStr"/>
      <c r="J29" s="11" t="inlineStr"/>
    </row>
    <row r="30" ht="30" customHeight="1">
      <c r="A30" s="9" t="n">
        <v>6</v>
      </c>
      <c r="B30" s="10" t="inlineStr">
        <is>
          <t>Ổn định</t>
        </is>
      </c>
      <c r="C30" s="10" t="inlineStr">
        <is>
          <t>Không ôi, không đổi màu/mùi bất thường sau 4 tuần 40–45 °C, 4 °C và 6 chu kỳ nóng–lạnh; peroxide ≤ 5 meq O₂/kg khi xuất xưởng</t>
        </is>
      </c>
      <c r="D30" s="21" t="n"/>
      <c r="E30" s="21" t="n"/>
      <c r="F30" s="21" t="n"/>
      <c r="G30" s="21" t="n"/>
      <c r="H30" s="20" t="n"/>
      <c r="I30" s="12" t="inlineStr"/>
      <c r="J30" s="11" t="inlineStr"/>
    </row>
    <row r="32">
      <c r="A32" s="19" t="inlineStr">
        <is>
          <t>D. ĐỀ NGHỊ CHUẨN HÓA INCI TRÊN CÔNG THỨC V3 (24/09/2026)</t>
        </is>
      </c>
    </row>
    <row r="33">
      <c r="A33" s="8" t="inlineStr">
        <is>
          <t>STT V3</t>
        </is>
      </c>
      <c r="B33" s="8" t="inlineStr">
        <is>
          <t>V3 đang ghi</t>
        </is>
      </c>
      <c r="C33" s="8" t="inlineStr">
        <is>
          <t>INCI đề nghị</t>
        </is>
      </c>
      <c r="D33" s="21" t="n"/>
      <c r="E33" s="21" t="n"/>
      <c r="F33" s="21" t="n"/>
      <c r="G33" s="21" t="n"/>
      <c r="H33" s="20" t="n"/>
      <c r="I33" s="8" t="inlineStr">
        <is>
          <t>Xác nhận Shizencos</t>
        </is>
      </c>
      <c r="J33" s="8" t="inlineStr">
        <is>
          <t>Ghi chú</t>
        </is>
      </c>
    </row>
    <row r="34" ht="22" customHeight="1">
      <c r="A34" s="9" t="inlineStr">
        <is>
          <t>3</t>
        </is>
      </c>
      <c r="B34" s="10" t="inlineStr">
        <is>
          <t>Simmondsia Chinensis Oil</t>
        </is>
      </c>
      <c r="C34" s="10" t="inlineStr">
        <is>
          <t>Simmondsia Chinensis (Jojoba) Seed Oil</t>
        </is>
      </c>
      <c r="D34" s="21" t="n"/>
      <c r="E34" s="21" t="n"/>
      <c r="F34" s="21" t="n"/>
      <c r="G34" s="21" t="n"/>
      <c r="H34" s="20" t="n"/>
      <c r="I34" s="12" t="inlineStr"/>
      <c r="J34" s="11" t="inlineStr"/>
    </row>
    <row r="35" ht="22" customHeight="1">
      <c r="A35" s="9" t="inlineStr">
        <is>
          <t>4</t>
        </is>
      </c>
      <c r="B35" s="10" t="inlineStr">
        <is>
          <t>Grape Seed Oil</t>
        </is>
      </c>
      <c r="C35" s="10" t="inlineStr">
        <is>
          <t>Vitis Vinifera (Grape) Seed Oil</t>
        </is>
      </c>
      <c r="D35" s="21" t="n"/>
      <c r="E35" s="21" t="n"/>
      <c r="F35" s="21" t="n"/>
      <c r="G35" s="21" t="n"/>
      <c r="H35" s="20" t="n"/>
      <c r="I35" s="12" t="inlineStr"/>
      <c r="J35" s="11" t="inlineStr"/>
    </row>
    <row r="36" ht="22" customHeight="1">
      <c r="A36" s="9" t="inlineStr">
        <is>
          <t>6</t>
        </is>
      </c>
      <c r="B36" s="10" t="inlineStr">
        <is>
          <t>Argania Spinos Oil</t>
        </is>
      </c>
      <c r="C36" s="10" t="inlineStr">
        <is>
          <t>Argania Spinosa Kernel Oil</t>
        </is>
      </c>
      <c r="D36" s="21" t="n"/>
      <c r="E36" s="21" t="n"/>
      <c r="F36" s="21" t="n"/>
      <c r="G36" s="21" t="n"/>
      <c r="H36" s="20" t="n"/>
      <c r="I36" s="12" t="inlineStr"/>
      <c r="J36" s="11" t="inlineStr"/>
    </row>
    <row r="37" ht="22" customHeight="1">
      <c r="A37" s="9" t="inlineStr">
        <is>
          <t>8</t>
        </is>
      </c>
      <c r="B37" s="10" t="inlineStr">
        <is>
          <t>Amla Oil</t>
        </is>
      </c>
      <c r="C37" s="10" t="inlineStr">
        <is>
          <t>Phyllanthus Emblica Fruit Extract + INCI dầu nền (theo COA)</t>
        </is>
      </c>
      <c r="D37" s="21" t="n"/>
      <c r="E37" s="21" t="n"/>
      <c r="F37" s="21" t="n"/>
      <c r="G37" s="21" t="n"/>
      <c r="H37" s="20" t="n"/>
      <c r="I37" s="12" t="inlineStr"/>
      <c r="J37" s="11" t="inlineStr"/>
    </row>
    <row r="38" ht="22" customHeight="1">
      <c r="A38" s="9" t="inlineStr">
        <is>
          <t>13</t>
        </is>
      </c>
      <c r="B38" s="10" t="inlineStr">
        <is>
          <t>Citrus Maxima (Tinh dầu bưởi da xanh)</t>
        </is>
      </c>
      <c r="C38" s="10" t="inlineStr">
        <is>
          <t>Citrus Maxima Peel Oil / Citrus Grandis (Grapefruit) Peel Oil (theo COA)</t>
        </is>
      </c>
      <c r="D38" s="21" t="n"/>
      <c r="E38" s="21" t="n"/>
      <c r="F38" s="21" t="n"/>
      <c r="G38" s="21" t="n"/>
      <c r="H38" s="20" t="n"/>
      <c r="I38" s="12" t="inlineStr"/>
      <c r="J38" s="11" t="inlineStr"/>
    </row>
    <row r="39" ht="22" customHeight="1">
      <c r="A39" s="9" t="inlineStr">
        <is>
          <t>15</t>
        </is>
      </c>
      <c r="B39" s="10" t="inlineStr">
        <is>
          <t>Zingiber Officinale (Ginger) Root Oil (Ginger Oil )</t>
        </is>
      </c>
      <c r="C39" s="10" t="inlineStr">
        <is>
          <t>Zingiber Officinale (Ginger) Root Oil</t>
        </is>
      </c>
      <c r="D39" s="21" t="n"/>
      <c r="E39" s="21" t="n"/>
      <c r="F39" s="21" t="n"/>
      <c r="G39" s="21" t="n"/>
      <c r="H39" s="20" t="n"/>
      <c r="I39" s="12" t="inlineStr"/>
      <c r="J39" s="11" t="inlineStr"/>
    </row>
    <row r="40" ht="22" customHeight="1">
      <c r="A40" s="9" t="inlineStr">
        <is>
          <t>16</t>
        </is>
      </c>
      <c r="B40" s="10" t="inlineStr">
        <is>
          <t>Curcuma Longa (Turmeric Oil)</t>
        </is>
      </c>
      <c r="C40" s="10" t="inlineStr">
        <is>
          <t>Curcuma Longa (Turmeric) Root Oil</t>
        </is>
      </c>
      <c r="D40" s="21" t="n"/>
      <c r="E40" s="21" t="n"/>
      <c r="F40" s="21" t="n"/>
      <c r="G40" s="21" t="n"/>
      <c r="H40" s="20" t="n"/>
      <c r="I40" s="12" t="inlineStr"/>
      <c r="J40" s="11" t="inlineStr"/>
    </row>
    <row r="41" ht="22" customHeight="1">
      <c r="A41" s="9" t="inlineStr">
        <is>
          <t>19</t>
        </is>
      </c>
      <c r="B41" s="10" t="inlineStr">
        <is>
          <t>Lavandula Angustifolia (Lavender Oil)</t>
        </is>
      </c>
      <c r="C41" s="10" t="inlineStr">
        <is>
          <t>Lavandula Angustifolia (Lavender) Oil</t>
        </is>
      </c>
      <c r="D41" s="21" t="n"/>
      <c r="E41" s="21" t="n"/>
      <c r="F41" s="21" t="n"/>
      <c r="G41" s="21" t="n"/>
      <c r="H41" s="20" t="n"/>
      <c r="I41" s="12" t="inlineStr"/>
      <c r="J41" s="11" t="inlineStr"/>
    </row>
    <row r="43">
      <c r="A43" s="19" t="inlineStr">
        <is>
          <t>E. TÀI LIỆU NGUYÊN LIỆU ĐỀ NGHỊ CUNG CẤP</t>
        </is>
      </c>
    </row>
    <row r="44">
      <c r="A44" s="14" t="inlineStr">
        <is>
          <t>• COA, MSDS của toàn bộ nguyên liệu (phục vụ PIF).</t>
        </is>
      </c>
    </row>
    <row r="45">
      <c r="A45" s="14" t="inlineStr">
        <is>
          <t>• Amla oil: nhà sản xuất, dầu nền, nồng độ chiết xuất amla; xác nhận không chứa dầu khoáng.</t>
        </is>
      </c>
    </row>
    <row r="46">
      <c r="A46" s="14" t="inlineStr">
        <is>
          <t>• Bakuchiol 99%: COA có chỉ tiêu psoralen/isopsoralen (furocoumarin).</t>
        </is>
      </c>
    </row>
    <row r="47">
      <c r="A47" s="14" t="inlineStr">
        <is>
          <t>• Tinh dầu: chứng nhận IFRA và bảng allergen (Limonene, Linalool, Citral, Geraniol, Eugenol…) để tính nội dung ghi nhãn.</t>
        </is>
      </c>
    </row>
    <row r="48">
      <c r="A48" s="14" t="inlineStr">
        <is>
          <t>• Tinh dầu bưởi: phương pháp sản xuất (ép lạnh / chưng cất / FCF).</t>
        </is>
      </c>
    </row>
  </sheetData>
  <mergeCells count="35">
    <mergeCell ref="C25:H25"/>
    <mergeCell ref="A47:J47"/>
    <mergeCell ref="C41:H41"/>
    <mergeCell ref="B16:C16"/>
    <mergeCell ref="C40:H40"/>
    <mergeCell ref="E16:H16"/>
    <mergeCell ref="B18:C18"/>
    <mergeCell ref="A44:J44"/>
    <mergeCell ref="B21:C21"/>
    <mergeCell ref="E18:H18"/>
    <mergeCell ref="C36:H36"/>
    <mergeCell ref="C27:H27"/>
    <mergeCell ref="E21:H21"/>
    <mergeCell ref="C39:H39"/>
    <mergeCell ref="A48:J48"/>
    <mergeCell ref="B17:C17"/>
    <mergeCell ref="A1:J1"/>
    <mergeCell ref="C38:H38"/>
    <mergeCell ref="E17:H17"/>
    <mergeCell ref="A45:J45"/>
    <mergeCell ref="C28:H28"/>
    <mergeCell ref="B19:C19"/>
    <mergeCell ref="C37:H37"/>
    <mergeCell ref="E20:H20"/>
    <mergeCell ref="C34:H34"/>
    <mergeCell ref="E19:H19"/>
    <mergeCell ref="C30:H30"/>
    <mergeCell ref="C33:H33"/>
    <mergeCell ref="C24:H24"/>
    <mergeCell ref="A46:J46"/>
    <mergeCell ref="A2:J2"/>
    <mergeCell ref="B20:C20"/>
    <mergeCell ref="C35:H35"/>
    <mergeCell ref="C26:H26"/>
    <mergeCell ref="C29:H29"/>
  </mergeCells>
  <dataValidations count="2">
    <dataValidation sqref="I6:I13 I17:I21 I25:I30" showDropDown="0" showInputMessage="0" showErrorMessage="0" allowBlank="1" type="list">
      <formula1>"Cam kết đạt,Chưa đạt - có giải trình"</formula1>
    </dataValidation>
    <dataValidation sqref="I34:I41" showDropDown="0" showInputMessage="0" showErrorMessage="0" allowBlank="1" type="list">
      <formula1>"Đồng ý,Đề xuất khác"</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s>
  <sheetData>
    <row r="1">
      <c r="A1" s="17" t="inlineStr">
        <is>
          <t>TỔNG HỢP KẾT QUẢ THƯƠNG THẢO</t>
        </is>
      </c>
    </row>
    <row r="3">
      <c r="A3" s="8" t="inlineStr">
        <is>
          <t>Tính chất</t>
        </is>
      </c>
      <c r="B3" s="8" t="inlineStr">
        <is>
          <t>Tổng số</t>
        </is>
      </c>
      <c r="C3" s="8" t="inlineStr">
        <is>
          <t>Đồng ý</t>
        </is>
      </c>
      <c r="D3" s="8" t="inlineStr">
        <is>
          <t>Đồng ý có sửa đổi</t>
        </is>
      </c>
      <c r="E3" s="8" t="inlineStr">
        <is>
          <t>Chưa thống nhất</t>
        </is>
      </c>
      <c r="F3" s="8" t="inlineStr">
        <is>
          <t>Chưa ghi kết quả</t>
        </is>
      </c>
    </row>
    <row r="4">
      <c r="A4" s="10" t="inlineStr">
        <is>
          <t>Pháp lý</t>
        </is>
      </c>
      <c r="B4" s="9">
        <f>COUNTIF('Bien ban thuong thao'!$G$16:$G$50,A4)</f>
        <v/>
      </c>
      <c r="C4" s="9">
        <f>COUNTIFS('Bien ban thuong thao'!$G$16:$G$50,A4,'Bien ban thuong thao'!$I$16:$I$50,"Đồng ý")</f>
        <v/>
      </c>
      <c r="D4" s="9">
        <f>COUNTIFS('Bien ban thuong thao'!$G$16:$G$50,A4,'Bien ban thuong thao'!$I$16:$I$50,"Đồng ý có sửa đổi")</f>
        <v/>
      </c>
      <c r="E4" s="9">
        <f>COUNTIFS('Bien ban thuong thao'!$G$16:$G$50,A4,'Bien ban thuong thao'!$I$16:$I$50,"Chưa thống nhất")</f>
        <v/>
      </c>
      <c r="F4" s="9">
        <f>B4-C4-D4-E4</f>
        <v/>
      </c>
    </row>
    <row r="5">
      <c r="A5" s="10" t="inlineStr">
        <is>
          <t>Chất lượng</t>
        </is>
      </c>
      <c r="B5" s="9">
        <f>COUNTIF('Bien ban thuong thao'!$G$16:$G$50,A5)</f>
        <v/>
      </c>
      <c r="C5" s="9">
        <f>COUNTIFS('Bien ban thuong thao'!$G$16:$G$50,A5,'Bien ban thuong thao'!$I$16:$I$50,"Đồng ý")</f>
        <v/>
      </c>
      <c r="D5" s="9">
        <f>COUNTIFS('Bien ban thuong thao'!$G$16:$G$50,A5,'Bien ban thuong thao'!$I$16:$I$50,"Đồng ý có sửa đổi")</f>
        <v/>
      </c>
      <c r="E5" s="9">
        <f>COUNTIFS('Bien ban thuong thao'!$G$16:$G$50,A5,'Bien ban thuong thao'!$I$16:$I$50,"Chưa thống nhất")</f>
        <v/>
      </c>
      <c r="F5" s="9">
        <f>B5-C5-D5-E5</f>
        <v/>
      </c>
    </row>
    <row r="6">
      <c r="A6" s="10" t="inlineStr">
        <is>
          <t>Thương mại</t>
        </is>
      </c>
      <c r="B6" s="9">
        <f>COUNTIF('Bien ban thuong thao'!$G$16:$G$50,A6)</f>
        <v/>
      </c>
      <c r="C6" s="9">
        <f>COUNTIFS('Bien ban thuong thao'!$G$16:$G$50,A6,'Bien ban thuong thao'!$I$16:$I$50,"Đồng ý")</f>
        <v/>
      </c>
      <c r="D6" s="9">
        <f>COUNTIFS('Bien ban thuong thao'!$G$16:$G$50,A6,'Bien ban thuong thao'!$I$16:$I$50,"Đồng ý có sửa đổi")</f>
        <v/>
      </c>
      <c r="E6" s="9">
        <f>COUNTIFS('Bien ban thuong thao'!$G$16:$G$50,A6,'Bien ban thuong thao'!$I$16:$I$50,"Chưa thống nhất")</f>
        <v/>
      </c>
      <c r="F6" s="9">
        <f>B6-C6-D6-E6</f>
        <v/>
      </c>
    </row>
    <row r="7">
      <c r="A7" s="10" t="inlineStr">
        <is>
          <t>Vận hành</t>
        </is>
      </c>
      <c r="B7" s="9">
        <f>COUNTIF('Bien ban thuong thao'!$G$16:$G$50,A7)</f>
        <v/>
      </c>
      <c r="C7" s="9">
        <f>COUNTIFS('Bien ban thuong thao'!$G$16:$G$50,A7,'Bien ban thuong thao'!$I$16:$I$50,"Đồng ý")</f>
        <v/>
      </c>
      <c r="D7" s="9">
        <f>COUNTIFS('Bien ban thuong thao'!$G$16:$G$50,A7,'Bien ban thuong thao'!$I$16:$I$50,"Đồng ý có sửa đổi")</f>
        <v/>
      </c>
      <c r="E7" s="9">
        <f>COUNTIFS('Bien ban thuong thao'!$G$16:$G$50,A7,'Bien ban thuong thao'!$I$16:$I$50,"Chưa thống nhất")</f>
        <v/>
      </c>
      <c r="F7" s="9">
        <f>B7-C7-D7-E7</f>
        <v/>
      </c>
    </row>
    <row r="8">
      <c r="A8" s="22" t="inlineStr">
        <is>
          <t>TỔNG CỘNG</t>
        </is>
      </c>
      <c r="B8" s="23">
        <f>SUM(B4:B7)</f>
        <v/>
      </c>
      <c r="C8" s="23">
        <f>SUM(C4:C7)</f>
        <v/>
      </c>
      <c r="D8" s="23">
        <f>SUM(D4:D7)</f>
        <v/>
      </c>
      <c r="E8" s="23">
        <f>SUM(E4:E7)</f>
        <v/>
      </c>
      <c r="F8" s="23">
        <f>SUM(F4:F7)</f>
        <v/>
      </c>
    </row>
    <row r="10">
      <c r="A10" s="24" t="inlineStr">
        <is>
          <t>Tỷ lệ đã thống nhất</t>
        </is>
      </c>
      <c r="B10" s="25">
        <f>IF(B8=0,0,(C8+D8)/B8)</f>
        <v/>
      </c>
    </row>
    <row r="11">
      <c r="A11" s="24" t="inlineStr">
        <is>
          <t>Thành phần chủ chốt đã cam kết</t>
        </is>
      </c>
      <c r="B11">
        <f>COUNTIF('Yeu cau ky thuat'!$I$6:$I$13,"Cam kết đạt")&amp;" / 8"</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2026-10-09T04:00:18Z</dcterms:created>
  <dcterms:modified xmlns:dcterms="http://purl.org/dc/terms/" xmlns:xsi="http://www.w3.org/2001/XMLSchema-instance" xsi:type="dcterms:W3CDTF">2026-10-09T04:00:18Z</dcterms:modified>
</cp:coreProperties>
</file>