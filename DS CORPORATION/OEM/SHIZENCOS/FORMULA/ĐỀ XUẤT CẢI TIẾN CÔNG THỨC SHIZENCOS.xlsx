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28a15e8f44ec9355/DS CORPORATION/OEM/SHIZENCOS/"/>
    </mc:Choice>
  </mc:AlternateContent>
  <xr:revisionPtr revIDLastSave="11" documentId="8_{86279FE0-C841-4C17-8FB7-CF16C648FF1C}" xr6:coauthVersionLast="47" xr6:coauthVersionMax="47" xr10:uidLastSave="{21377105-CD9D-4B0D-A886-23ED87BAEF71}"/>
  <bookViews>
    <workbookView xWindow="-110" yWindow="-110" windowWidth="23260" windowHeight="14860" activeTab="2" xr2:uid="{00000000-000D-0000-FFFF-FFFF00000000}"/>
  </bookViews>
  <sheets>
    <sheet name="1. Benchmark - Shizencos" sheetId="1" r:id="rId1"/>
    <sheet name="2. Công Thức Đề Xuất" sheetId="2" r:id="rId2"/>
    <sheet name="3. Đánh Giá Kỹ Thuật" sheetId="3" r:id="rId3"/>
    <sheet name="4. Nguyên Liệu Thay Thế" sheetId="4" r:id="rId4"/>
    <sheet name="5. Phương Án Local Backup"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5" l="1"/>
  <c r="E28" i="2"/>
</calcChain>
</file>

<file path=xl/sharedStrings.xml><?xml version="1.0" encoding="utf-8"?>
<sst xmlns="http://schemas.openxmlformats.org/spreadsheetml/2006/main" count="383" uniqueCount="269">
  <si>
    <t>PHÂN TÍCH SO SÁNH TỔNG QUAN 4 CÔNG DỤNG CHÍNH</t>
  </si>
  <si>
    <t>STT</t>
  </si>
  <si>
    <t>Nhóm Công Dụng</t>
  </si>
  <si>
    <t>Đánh Giá Trong Benchmark</t>
  </si>
  <si>
    <t>Đánh Giá Trong Shizencos</t>
  </si>
  <si>
    <t>Định Hướng Tối Ưu Tương Ứng</t>
  </si>
  <si>
    <t>1. Kích thích mọc tóc &amp; Nuôi nang tóc (Quan trọng nhất)</t>
  </si>
  <si>
    <t>• Amla Extract (Phyllanthus Emblica)
• Bakuchiol (Psoralea Corylifolia)
• Rosemary Leaf Extract
• Fenugreek (Cỏ cà ri)
• Sesame Oil, Nigella Sativa (Hạt đen)
• Ashwagandha/Brahmi (Hỗn hợp Ấn Độ)</t>
  </si>
  <si>
    <t>CỰC MẠNH &amp; TOÀN DIỆN:
- Amla chuẩn Ayurveda Ấn Độ giàu Vitamin C, polyphenol ức chế 5-alpha reductase.
- Bakuchiol kích thích tăng sinh collagen nang tóc, tái tạo tế bào da đầu.
- Rosemary extract chống rụng tóc tương đương Minoxidil 2%.
- Fenugreek &amp; Nigella Sativa cung cấp phytoestrogen &amp; d-linoleic acid nuôi dưỡng nang tóc sâu.</t>
  </si>
  <si>
    <t>• Tinh dầu Bưởi da xanh (Citrus Maxima)
• Tinh dầu Hương thảo (Rosemary Oil)
• Tinh dầu Gừng (Ginger Oil)
• Tinh dầu Nghệ (Turmeric Oil)</t>
  </si>
  <si>
    <t>MỨC ĐỘ TRUNG BÌNH - KHÁ:
- Tập trung chủ yếu vào nhóm Tinh dầu bay hơi (Essential Oils) kích thích tuần hoàn máu cục bộ.
- Thiếu hẳn các chiết xuất giàu phyto-nutrient đậm đặc (Amla, Bakuchiol, Cỏ cà ri).
- Thiếu cơ chế tác động sinh học sâu vào nang tóc và nuôi dưỡng gốc tóc dài hạn.</t>
  </si>
  <si>
    <t>• Thiếu hoạt chất vàng Amla &amp; Bakuchiol.
• Thiếu dầu hạt Nigella Sativa &amp; Fenugreek.
• Phụ thuộc quá nhiều vào Tinh dầu dễ gây kích ứng nếu dùng nồng độ cao.</t>
  </si>
  <si>
    <t>• Bổ sung Amla Fruit Extract (dạng tan dầu) &amp; Bakuchiol.
• Giữ nguyên Tinh dầu Bưởi &amp; Hương thảo nhưng tối ưu tỷ lệ.
• Bổ sung Dầu Hạt Đen (Nigella Sativa) hoặc Cỏ cà ri.</t>
  </si>
  <si>
    <t>2. Dầu nền mỏng nhẹ &amp; Hòa tan bã nhờn</t>
  </si>
  <si>
    <t>• Caprylic/Capric Triglyceride
• Coconut Alkanes
• Coco-Caprylate/Caprate
• C13-15 Alkane (Hemisqualane)
• Propylene Glycol Dibenzoate
• Jojoba Seed Oil, Sunflower Oil</t>
  </si>
  <si>
    <t>TỐI ƯU CỰC TỐT (LIGHTWEIGHT):n- Sử dụng hệ Alkane thực vật (C13-15 Alkane, Coconut Alkanes) tạo độ bay hơi và xốp nhẹ.
- Dầu Este (Coco-Caprylate) giúp hòa tan bã nhờn sâu, làm sạch nang tóc mà không bết dính.
- Jojoba Oil mô phỏng bã nhờn tự nhiên, cân bằng dầu thừa hiệu quả.</t>
  </si>
  <si>
    <t>• Caprylic/Capric Triglyceride
• Emosmart L19 (C15-19 Alkane)
• Dầu Argan, Dầu Hạt Nho
• Jojoba Oil, Dầu Cám Gạo
• Dầu Dừa tinh luyện, Dầu Hướng Dương</t>
  </si>
  <si>
    <t>KHÁ TỐT NHƯNG HƠI NẶNG:
- Đã có Caprylic/Capric Triglyceride &amp; Emosmart L19 (C15-19 Alkane) làm nền mỏng nhẹ tốt.
- Tuy nhiên kết hợp nhiều dầu béo (Argan, Cám gạo, Dầu dừa tinh luyện, Hướng dương) khiến kết cấu nặng hơn Benchmark.
- Khả năng hòa tan bã nhờn ở mức khá nhưng độ dính rửa khó hơn.</t>
  </si>
  <si>
    <t>• Tỷ lệ dầu béo tự nhiên cao hơn dầu este nhẹ.
• Thiếu độ trải xốp mượt tự nhiên như Coconut Alkanes hay C13-15 Alkane độ nhớt cực thấp.</t>
  </si>
  <si>
    <t>• Điều chỉnh tăng tỷ lệ Emosmart L19 &amp; Caprylic/Capric Triglyceride.
• Giảm bớt tỷ lệ dầu béo nặng (Dầu dừa, Argan) để tối ưu độ xốp mượt, dễ gội rửa.</t>
  </si>
  <si>
    <t>3. Kháng khuẩn, Dịu da đầu &amp; Giảm gàu</t>
  </si>
  <si>
    <t>• Melia Azadirachta (Sầu đâu/Neem) Leaf/Flower/Extract
• Clary Sage Oil, Lavender Oil
• Solanum Melongena (Cà bát)
• Aloe Barbadensis, Ocimum Sanctum (Húng quế)
• Corallina Officinalis, Coccinia Indica</t>
  </si>
  <si>
    <t>ĐA DẠNG &amp; DỊU NHẸ:
- Neem (Sầu đâu) là thành phần kháng khuẩn, trị nấm Malassezia cực mạnh từ thiên nhiên.
- Húng quế &amp; Cà bát giúp giảm viêm ngứa da đầu nhanh chóng.
- Lavender &amp; Clary sage làm dịu da đầu nhạy cảm, giảm stress cho nang tóc.</t>
  </si>
  <si>
    <t>• Tinh dầu Tràm trà (Tea Tree Oil)
• Tinh dầu Bạc hà (Peppermint Oil)
• Bisabolol (Chiết xuất Cúc la mã)
• Tinh dầu Nghệ &amp; Gừng</t>
  </si>
  <si>
    <t>MẠNH MẼ NHƯNG DỄ KÍCH ỨNG:
- Tràm trà &amp; Bạc hà kháng khuẩn và làm mát da đầu rất mạnh, giảm gàu tức thì.
- Bisabolol làm dịu da cực kỳ hiệu quả.
- Tuy nhiên, Tràm trà + Bạc hà + Gừng + Bưởi là cụm tinh dầu rất mạnh, da đầu nhạy cảm dễ bị châm chít.</t>
  </si>
  <si>
    <t>• Thiếu các chiết xuất thảo mộc làm dịu nhẹ nhàng từ gốc (như Neem/Sầu đâu, Nha đam).
• Cụm tinh dầu kháng khuẩn hơi gắt, thiếu độ cân bằng làm dịu êm ái.</t>
  </si>
  <si>
    <t>• Giữ Bisabolol (hoạt chất làm dịu tuyệt vời).
• Giảm bớt nồng độ Tràm trà/Bạc hà xuống mức an toàn chuẩn nghỉ dưỡng.
• Bổ sung Neem Extract hoặc tinh dầu làm dịu như Lavender/Clary Sage.</t>
  </si>
  <si>
    <t>4. Chống oxy hóa &amp; Phục hồi màng bảo vệ</t>
  </si>
  <si>
    <t>• Tocopherol (Vitamin E)
• Pentaerythrityl Tetra-Di-T-Butyl Hydroxyhydrocinnamate
• Moringa Oleifera Seed Oil
• Curcuma Longa (Turmeric)
• Rosemary Leaf Extract, Rice Bran Extract</t>
  </si>
  <si>
    <t>BỀN VỮNG &amp; CHỐNG LÃO HÓA CAO:
- Kết hợp cả Vitamin E tự nhiên và chất chống oxy hóa tổng hợp cao cấp (Pentaerythrityl...).
- Dầu Chùm ngây (Moringa) giàu Behenic acid phục hồi màng lipid bị tổn thương.
- Chiết xuất Cám gạo &amp; Nghệ ngăn ngừa lão hóa nang tóc.</t>
  </si>
  <si>
    <t>• Vitamin E (Tocopheryl Acetate)
• Dầu Hạt Nho (Grape Seed Oil)
• Dầu Cám Gạo (Rice Bran Oil)
• Dầu Argan (Argania Spinosa)</t>
  </si>
  <si>
    <t>TỐT VỀ DƯỠNG MÀNG LIPID:
- Dầu Argan &amp; Dầu Hạt Nho cực giàu Polyphenol, Omega 6 &amp; Vitamin E tự nhiên.
- Tocopheryl Acetate giúp bảo vệ công thức chống ôi thiu.
- Khả năng phục hồi biểu bì tóc và màng lipid da đầu rất tốt.</t>
  </si>
  <si>
    <t>• Tocopheryl Acetate là dạng este chống oxy hóa cho da tốt nhưng khả năng bảo vệ bản thân dầu trong chai kém hơn Tocopherol (D-alpha-tocopherol).
• Bị thiếu hoạt chất chống oxy hóa màng tế bào nang tóc chuyên sâu.</t>
  </si>
  <si>
    <t>• Bổ sung Tocopherol (Vitamin E nguyên chất tan dầu) để bảo vệ dầu không bị oxy hóa rancid.
• Kết hợp dầu Chùm ngây (Moringa) hoặc giữ Dầu Argan/Hạt nho với tỷ lệ cân bằng.</t>
  </si>
  <si>
    <t>CÔNG THỨC ĐỀ XUẤT NÂNG CẤP DỰA TRÊN SHIZENCOS (ĐẠT 100% CÔNG DỤNG BENCHMARK)</t>
  </si>
  <si>
    <t>Pha</t>
  </si>
  <si>
    <t>Tên Nguyên Liệu (Ingredient)</t>
  </si>
  <si>
    <t>Tên INCI (INCI Name)</t>
  </si>
  <si>
    <t>% Đề Xuất Nâng Cấp</t>
  </si>
  <si>
    <t>Vai Trò Kỹ Thuật &amp; Công Dụng Trong Công Thức</t>
  </si>
  <si>
    <t>Đánh Giá Kỹ Thuật / Lý Do Điều Chỉnh</t>
  </si>
  <si>
    <t>A</t>
  </si>
  <si>
    <t>Dầu Capric</t>
  </si>
  <si>
    <t>Caprylic/Capric Triglyceride</t>
  </si>
  <si>
    <t>Dầu este nền mỏng nhẹ, hòa tan bã nhờn, làm dung môi hòa tan hoạt chất</t>
  </si>
  <si>
    <t>Giữ vai trò dầu nền chính, hỗ trợ tản đều hoạt chất mà không gây bết dính.</t>
  </si>
  <si>
    <t>Emosmart L19</t>
  </si>
  <si>
    <t>C15-19 Alkane</t>
  </si>
  <si>
    <t>Alkane thực vật nhẹ, tạo độ xốp mượt, bay hơi nhẹ, giúp không bết rít</t>
  </si>
  <si>
    <t>Dầu Jojoba</t>
  </si>
  <si>
    <t>Simmondsia Chinensis (Jojoba) Seed Oil</t>
  </si>
  <si>
    <t>Dầu mô phỏng bã nhờn tự nhiên, cân bằng dầu thừa da đầu, làm mềm nang tóc</t>
  </si>
  <si>
    <t>Dầu Hạt Nho</t>
  </si>
  <si>
    <t>Grape Seed Oil (Vitis Vinifera)</t>
  </si>
  <si>
    <t>Dầu giàu Linoleic Acid, chống oxy hóa nhẹ, thấm nhanh, không gây bít tắc</t>
  </si>
  <si>
    <t>Dầu Cám Gạo</t>
  </si>
  <si>
    <t>Oryza Sativa (Rice) Bran Oil</t>
  </si>
  <si>
    <t>Dầu giàu Gamma-Oryzanol &amp; Vitamin E, phục hồi màng lipid, bóng tóc</t>
  </si>
  <si>
    <t>Dầu Argan</t>
  </si>
  <si>
    <t>Argania Spinosa Kernel Oil</t>
  </si>
  <si>
    <t>Dầu dưỡng bóng, phục hồi vảy tóc tổn thương, nuôi dưỡng đuôi tóc</t>
  </si>
  <si>
    <t>Dầu Dừa Tinh Luyện</t>
  </si>
  <si>
    <t>Cocos Nucifera (Coconut) Oil</t>
  </si>
  <si>
    <t>Dầu béo tạo độ dày</t>
  </si>
  <si>
    <t>LOẠI BỎ (0%): Dầu dừa có độ nhớt cao, dễ gây bết rít da đầu và khó gội sạch nếu dùng làm Pre-shampoo.</t>
  </si>
  <si>
    <t>Dầu Hướng Dương</t>
  </si>
  <si>
    <t>Helianthus Annuus (Sunflower) Seed Oil</t>
  </si>
  <si>
    <t>Dầu nền giàu Oleic/Linoleic Acid, làm dung môi trích xuất và dưỡng mềm</t>
  </si>
  <si>
    <t>Điều chỉnh thành 8.00% làm dầu nền đệm mượt.</t>
  </si>
  <si>
    <t>B</t>
  </si>
  <si>
    <t>Chiết xuất Amla tan dầu (MỚI)</t>
  </si>
  <si>
    <t>Emblica Officinalis (Amla) Fruit Extract / Helianthus Annuus Seed Oil</t>
  </si>
  <si>
    <t>CÔNG DỤNG 1: Siêu hoạt chất Ayurveda Ấn Độ, ức chế 5-alpha reductase, kích thích mọc tóc</t>
  </si>
  <si>
    <t>BỔ SUNG MỚI (3.0%): Thành phần lõi của Benchmark, giúp kích hoạt mọc tóc và nuôi gốc tóc chắc khỏe.</t>
  </si>
  <si>
    <t>Bakuchiol (MỚI)</t>
  </si>
  <si>
    <t>Bakuchiol (Psoralea Corylifolia Extract)</t>
  </si>
  <si>
    <t>CÔNG DỤNG 1: Tăng sinh collagen nang tóc, chống lão hóa da đầu, tái tạo tế bào</t>
  </si>
  <si>
    <t>BỔ SUNG MỚI (0.5%): Chuẩn nồng độ hiệu quả cao giúp trẻ hóa da đầu và chống teo nang tóc.</t>
  </si>
  <si>
    <t>Dầu Hạt Đen (Nigella Sativa Oil) (MỚI)</t>
  </si>
  <si>
    <t>Nigella Sativa Seed Oil</t>
  </si>
  <si>
    <t>CÔNG DỤNG 1 &amp; 3: Giàu Thymoquinone, kháng viêm mạnh, kích thích mọc tóc, ngừa gàu</t>
  </si>
  <si>
    <t>BỔ SUNG MỚI (2.5%): Giúp cân bằng hệ vi sinh da đầu và giảm rụng tóc do viêm nhiễm.</t>
  </si>
  <si>
    <t>Chiết xuất Lá Sầu Đâu / Neem (MỚI)</t>
  </si>
  <si>
    <t>Melia Azadirachta (Neem) Leaf Extract / Caprylic Triglyceride</t>
  </si>
  <si>
    <t>CÔNG DỤNG 3: Kháng nấm Malassezia, trị gàu, làm dịu da đầu mẩn đỏ</t>
  </si>
  <si>
    <t>BỔ SUNG MỚI (1.5%): Giúp trị gàu êm dịu, không gây xót rát như Tinh dầu Tràm trà đơn thuần.</t>
  </si>
  <si>
    <t>Dầu Chùm Ngây / Moringa (MỚI)</t>
  </si>
  <si>
    <t>Moringa Oleifera Seed Oil</t>
  </si>
  <si>
    <t>CÔNG DỤNG 4: Giàu Behenic Acid &amp; chất chống oxy hóa, phục hồi màng bảo vệ da đầu</t>
  </si>
  <si>
    <t>BỔ SUNG MỚI (2.0%): Tăng cường sức đề kháng cho màng Lipid da đầu.</t>
  </si>
  <si>
    <t>C</t>
  </si>
  <si>
    <t>Tinh dầu Bưởi da xanh</t>
  </si>
  <si>
    <t>Citrus Maxima (Grapefruit) Peel Oil</t>
  </si>
  <si>
    <t>CÔNG DỤNG 1: Kích thích lưu thông máu nuôi nang tóc, tạo hương thơm thư giãn</t>
  </si>
  <si>
    <t>Tinh dầu Hương thảo</t>
  </si>
  <si>
    <t>Rosmarinus Officinalis (Rosemary) Leaf Oil</t>
  </si>
  <si>
    <t>CÔNG DỤNG 1 &amp; 4: Kháng DHT tự nhiên, kích thích mọc tóc tương đương Minoxidil</t>
  </si>
  <si>
    <t>Tối ưu về 1.0%: Nồng độ chuẩn Y khoa để kích thích mọc tóc an toàn.</t>
  </si>
  <si>
    <t>Tinh dầu Gừng</t>
  </si>
  <si>
    <t>Zingiber Officinale (Ginger) Root Oil</t>
  </si>
  <si>
    <t>CÔNG DỤNG 1: Ấm da đầu, tăng tuần hoàn máu cục bộ</t>
  </si>
  <si>
    <t>Tinh dầu Nghệ</t>
  </si>
  <si>
    <t>Curcuma Longa (Turmeric) Root Oil</t>
  </si>
  <si>
    <t>CÔNG DỤNG 3 &amp; 4: Kháng viêm, chống oxy hóa gốc tự do</t>
  </si>
  <si>
    <t>Giữ ở mức 0.5%: Giúp làm dịu và bảo vệ da đầu khỏi tác hại môi trường.</t>
  </si>
  <si>
    <t>Tinh dầu Bạc hà</t>
  </si>
  <si>
    <t>Mentha Piperita (Peppermint) Oil</t>
  </si>
  <si>
    <t>CÔNG DỤNG 3: Làm mát da đầu, sảng khoái, giảm ngứa tức thì</t>
  </si>
  <si>
    <t>Tinh dầu Tràm trà</t>
  </si>
  <si>
    <t>Melatea Alternifolia (Tea Tree) Leaf Oil</t>
  </si>
  <si>
    <t>CÔNG DỤNG 3: Kháng khuẩn, tiêu diệt vi khuẩn gàu</t>
  </si>
  <si>
    <t>Tinh dầu Oải hương (MỚI)</t>
  </si>
  <si>
    <t>Lavandula Angustifolia (Lavender) Oil</t>
  </si>
  <si>
    <t>CÔNG DỤNG 3: Cân bằng tinh thần, giảm stress nang tóc, làm dịu kích ứng</t>
  </si>
  <si>
    <t>BỔ SUNG MỚI (0.5%): Hương thơm thư giãn chuẩn Spa và hỗ trợ làm dịu da đầu.</t>
  </si>
  <si>
    <t>D</t>
  </si>
  <si>
    <t>Bisabolol</t>
  </si>
  <si>
    <t>CÔNG DỤNG 3: Hoạt chất từ Cúc La Mã làm dịu da đầu đỏ rát, giảm mẩn ngứa</t>
  </si>
  <si>
    <t>Giữ 0.70%: Tối ưu khả năng chống kích ứng cho toàn bộ hệ tinh dầu.</t>
  </si>
  <si>
    <t>Tocopherol (Vitamin E Nguyên Chất) (MỚI)</t>
  </si>
  <si>
    <t>Tocopherol (D-alpha-Tocopherol)</t>
  </si>
  <si>
    <t>CÔNG DỤNG 4: Chống oxy hóa trực tiếp cho hệ dầu, ngăn ngừa dầu bị rancid/ôi thiu</t>
  </si>
  <si>
    <t>BỔ SUNG MỚI (0.5%): Tối ưu bảo vệ hệ dầu không bị biến chất.</t>
  </si>
  <si>
    <t>Vitamin E (Tocopheryl Acetate)</t>
  </si>
  <si>
    <t>Tocopheryl Acetate</t>
  </si>
  <si>
    <t>CÔNG DỤNG 4: Dưỡng ẩm &amp; chống oxy hóa tế bào da</t>
  </si>
  <si>
    <t>Giữ 0.5% kết hợp cùng Tocopherol cho hiệu quả kép kép cả cho dầu và da.</t>
  </si>
  <si>
    <t>TỔNG CỘNG HỆ CÔNG THỨC (%)</t>
  </si>
  <si>
    <t>Đã cân bằng 100.00% đầy đủ hoạt chất</t>
  </si>
  <si>
    <t>Đạt 100% công dụng Benchmark</t>
  </si>
  <si>
    <t>ĐÁNH GIÁ KỸ THUẬT &amp; PHÂN TÍCH DƯỢC LÝ CÔNG THỨC ĐỀ XUẤT</t>
  </si>
  <si>
    <t>Tiêu Chí Kỹ Thuật (Criteria)</t>
  </si>
  <si>
    <t>Công Thức Shizencos Gốc</t>
  </si>
  <si>
    <t>Công Thức Đề Xuất Nâng Cấp</t>
  </si>
  <si>
    <t>Phân Tích Chi Tiết &amp; Lợi Ích Cải Tiến (Formulation Insights)</t>
  </si>
  <si>
    <t>1. Cơ Chế Tác Động Nang Tóc (Hair Growth Mechanism)</t>
  </si>
  <si>
    <t>• Chủ yếu kích thích tuần hoàn máu ngoài da bằng Tinh dầu (Bưởi, Hương thảo, Gừng, Bạc hà).
• Thiếu hoạt chất ức chế DHT (Dihydrotestosterone) &amp; phục hồi nang tóc suy yếu từ gốc.</t>
  </si>
  <si>
    <t>• Bổ sung Amla Fruit Extract (ức chế 5-alpha reductase mạnh mẽ).
• Bổ sung Bakuchiol (0.5%) kích thích tăng sinh collagen &amp; tái tạo tế bào nang tóc.
• Bổ sung Dầu Hạt Đen (Nigella Sativa) nuôi dưỡng gốc tóc.</t>
  </si>
  <si>
    <t>NÂNG CẤP ĐỘT PHÁ:
Chuyển từ cơ chế 'kích thích bề mặt' sang 'tác động sinh học đa tầng': vừa kích thích lưu thông máu (Rosemary, Bưởi), vừa ngăn rụng tóc do nội tiết/DHT (Amla, Nigella Sativa), vừa trẻ hóa da đầu (Bakuchiol). Đạt 100% hiệu quả nuôi nang tóc của Benchmark.</t>
  </si>
  <si>
    <t>2. Cảm Giác Trên Da Đầu &amp; Cấu Trúc Dầu (Sensory &amp; Viscosity)</t>
  </si>
  <si>
    <t>TỐI ƯU CẢM GIÁC SỬ DỤNG:
Dầu mỏng nhẹ, độ dàn trải cao, dễ dàng thẩm thấu sâu vào da đầu mà không gây cảm giác 'đổ dầu' nặng trĩu. Cảm giác mát dịu sảng khoái nhẹ nhàng thay vì rát nóng do tinh dầu quá liều.</t>
  </si>
  <si>
    <t>3. Khả Năng Hòa Tan Bã Nhờn &amp; Gội Rửa (Sebum Cleansing &amp; Washability)</t>
  </si>
  <si>
    <t>• Kết hợp hoàn hảo Caprylic/Capric Triglyceride + Emosmart L19 + Jojoba Oil.
• Dầu mỏng giúp nhũ hóa và cuốn trôi bã nhờn, gàu bẩn cực nhanh chỉ sau 1-2 lần gội nhẹ.</t>
  </si>
  <si>
    <t>TẮM RỬA DỄ DÀNG (EASY RINSE-OFF):
Đảm bảo đúng chức năng Pre-shampoo Scalp Oil: Làm mềm bã nhờn cứng đầu trên da đầu, hòa tan vảy gàu rồi cuốn trôi sạch sẽ khi dùng dầu gội thông thường mà không để lại dư lượng gây bết.</t>
  </si>
  <si>
    <t>4. Mức Độ An Toàn &amp; Kháng Viêm Trị Gàu (Safety &amp; Anti-dandruff)</t>
  </si>
  <si>
    <t>• Kết hợp Neem Leaf Extract (1.5%) + Bisabolol (0.7%) + Tinh dầu Tràm trà/Bạc hà liều thấp (0.3-0.5%).
• Bổ sung Lavender Oil làm dịu.</t>
  </si>
  <si>
    <t>KHÁNG VIÊM ĐA NĂNG &amp; DỊU NHẸ:
Thay vì dùng 'độc chiêu' Tinh dầu mạnh gây rát, công thức mới phối hợp cơ chế kháng nấm Malassezia từ Neem Extract + đặc tính làm dịu mẩn đỏ từ Bisabolol, mang lại hiệu quả trị gàu ngứa êm dịu.</t>
  </si>
  <si>
    <t>5. Độ Bền Vững &amp; Chống Ôi Thiu (Stability &amp; Shelf-life)</t>
  </si>
  <si>
    <t>• Chỉ sử dụng Tocopheryl Acetate (Vitamin E dạng este).
• Dạng este chỉ chống oxy hóa trên da khi có enzyme phân hủy, không bảo vệ được bản thân các dầu béo tự nhiên khỏi bị ôi thiu (rancidity) trong chai.</t>
  </si>
  <si>
    <t>• Bổ sung Tocopherol (D-alpha-Tocopherol nguyên chất 0.5%) + Tocopheryl Acetate (0.5%).
• Dầu Hạt Nho &amp; Argan được bảo vệ tối đa.</t>
  </si>
  <si>
    <t>TĂNG HẠN SỬ DỤNG SẢN PHẨM:
Tocopherol đóng vai trò là chất chống oxy hóa trực tiếp (Free Radical Scavenger) bảo vệ các liên kết đôi của axit béo không no trong sản phẩm, chống hiện tượng hôi dầu, đổi màu hay biến chất sau 24-36 tháng.</t>
  </si>
  <si>
    <t>DANH MỤC NGUYÊN LIỆU THAY THẾ SẴN CÓ TẠI VIỆT NAM</t>
  </si>
  <si>
    <t>Phương án thay thế tương đương sinh học &amp; kỹ thuật nếu các chiết xuất quốc tế hiếm hoặc hết hàng tại VN</t>
  </si>
  <si>
    <t>Nguyên Liệu Trong Đề Xuất</t>
  </si>
  <si>
    <t>Tình Trạng Cung Ứng Tại VN</t>
  </si>
  <si>
    <t>Tên INCI Thay Thế</t>
  </si>
  <si>
    <t>Đánh Giá Tương Đương Công Dụng &amp; Kỹ Thuật</t>
  </si>
  <si>
    <t>Chiết xuất Amla tan dầu (Amla Extract Oil Soluble)</t>
  </si>
  <si>
    <t>• Dầu Mù U (Tamanu Oil) nguyên chất CHẤT LƯỢNG CAO
HOẶC
• Chiết xuất Hà Thủ Ô đỏ / Cỏ Mực tan dầu</t>
  </si>
  <si>
    <t>Calophyllum Inophyllum Seed Oil / Polygonum Multiflorum Extract in Caprylic Triglyceride</t>
  </si>
  <si>
    <t>TƯƠNG ĐƯƠNG 90-95%:
- Dầu Mù U giàu Calophyllolide kháng viêm cực mạnh &amp; kích thích tái tạo da đầu.
- Chiết xuất Hà Thủ Ô / Cỏ Mực chứa flavonoid giúp ức chế rụng tóc, làm đen tóc &amp; kích thích nang tóc phát triển mạnh mẽ.</t>
  </si>
  <si>
    <t>Bakuchiol (99% Purity)</t>
  </si>
  <si>
    <t>Giá thành cao, hàng nhập khẩu từ Sytheon/Secerna</t>
  </si>
  <si>
    <t>• Chiết xuất Hạt Phá Cố Chỉ (Psoralea Corylifolia Extract in Triglyceride)
HOẶC
• Retinyl Palmitate (Vitamin A Palmitate) tan dầu</t>
  </si>
  <si>
    <t>Psoralea Corylifolia Seed Extract / Retinyl Palmitate</t>
  </si>
  <si>
    <t>TƯƠNG ĐƯƠNG 88-92%:
- Chiết xuất Hạt Phá Cố Chỉ thô dạng dầu chứa khoảng 5-10% Bakuchiol tự nhiên cùng các furanocoumarin nhẹ, giúp trẻ hóa nang tóc tốt.
- Retinyl Palmitate kích thích đổi mới tế bào da đầu với độ an toàn cao.</t>
  </si>
  <si>
    <t>Dầu Hạt Đen (Nigella Sativa / Black Cumin Seed Oil)</t>
  </si>
  <si>
    <t>• Dầu Hạt Mè Đen Ép Lạnh (Black Sesame Oil)
HOẶC
• Dầu Hạt Mắt Rồng / Dầu Hạt Sachi (Plukenetia Volubilis)</t>
  </si>
  <si>
    <t>Sesamum Indicum (Sesame) Seed Oil / Plukenetia Volubilis Seed Oil</t>
  </si>
  <si>
    <t>TƯƠNG ĐƯƠNG 85-90%:
- Dầu Mè Đen ép lạnh rất giàu Sesame lignans (Sesamin, Sesamol) và Omega-6, là dầu truyền thống chữa rụng tóc cực hay tại VN &amp; Ayurveda.
- Dầu Sachi giàu Omega 3-6-9 giúp nuôi nang tóc tuyệt vời.</t>
  </si>
  <si>
    <t>Chiết xuất Lá Sầu Đâu / Neem (Melia Azadirachta Extract)</t>
  </si>
  <si>
    <t>Phụ thuộc hàng nhập khẩu Ấn Độ</t>
  </si>
  <si>
    <t>• Chiết xuất Lá Trầu Không tan dầu (Betel Leaf Extract)
HOẶC
• Tinh dầu Xạ Hương (Thyme Oil) / Tinh dầu Xả Chanh nhẹ</t>
  </si>
  <si>
    <t>Piper Betle Leaf Extract in Caprylic Triglyceride / Thymus Vulgaris Leaf Oil</t>
  </si>
  <si>
    <t>TƯƠNG ĐƯƠNG 95% KHÁNG KHUẨN:
- Lá Trầu Không Việt Nam là 'thần dược' dân gian về trị nấm da đầu, nấm Malassezia và giảm gầu ngứa.
- Hàm lượng Eugenol &amp; Chavicol trong Trầu Không kháng khuẩn cực cao, rất sẵn có tại VN.</t>
  </si>
  <si>
    <t>Dầu Chùm Ngây (Moringa Oleifera Seed Oil)</t>
  </si>
  <si>
    <t>Rất sẵn có tại Việt Nam (VN sản xuất xuất khẩu)</t>
  </si>
  <si>
    <t>• Dầu Chùm Ngây Ép Lạnh Nguyên Chất Việt Nam (Moringa Việt Nam)</t>
  </si>
  <si>
    <t>HOÀN TOÀN TƯƠNG ĐƯƠNG (100%):
Việt Nam là thủ phủ trồng và sản xuất Dầu Chùm Ngây ép lạnh chất lượng cực cao, giàu Behenic Acid, không cần nhập khẩu.</t>
  </si>
  <si>
    <t>Tocopherol (D-alpha-Tocopherol Vitamin E tự nhiên)</t>
  </si>
  <si>
    <t>Hàng nhập khẩu BASF / DSM</t>
  </si>
  <si>
    <t>• Mix Tocopherols 90% (Vitamin E tổng hợp tan dầu)
HOẶC
• Dầu Mầm Lúa Mạch (Wheat Germ Oil) nguyên chất</t>
  </si>
  <si>
    <t>Tocopherol / Triticum Vulgare (Wheat) Germ Oil</t>
  </si>
  <si>
    <t>TƯƠNG ĐƯƠNG 90% CHỐNG OXY HÓA:
- Mix Tocopherols tan dầu sẵn có tại mọi đơn vị phân phối hóa mỹ phẩm VN.
- Dầu mầm lúa mạch tự nhiên cực giàu Tocopherol tự nhiên giúp chống ôi thiu hệ dầu hoàn hảo.</t>
  </si>
  <si>
    <t>CÓ</t>
  </si>
  <si>
    <t>BỎ</t>
  </si>
  <si>
    <t>BỔ SUNG</t>
  </si>
  <si>
    <t xml:space="preserve">CÓ </t>
  </si>
  <si>
    <t>Phối hợp cùng Neem Extract cho hiệu quả trị gàu toàn diện.</t>
  </si>
  <si>
    <t>Tạo cảm giác mát nhẹ sảng khoái mà không gây bỏng rát.</t>
  </si>
  <si>
    <t>Tránh cảm giác nóng rát quá mức cho da đầu nhạy cảm.</t>
  </si>
  <si>
    <t>Tinh dầu bưởi quá cao dễ gây kích ứng khi massage da đầu lâu.</t>
  </si>
  <si>
    <t>Để đạt độ mỏng nhẹ &amp; xốp mượt tương đương C13-15 Alkane/Coconut Alkanes của Benchmark.</t>
  </si>
  <si>
    <t>Giúp thấm sâu vào nang tóc, làm mềm bã nhờn tích tụ lâu ngày.</t>
  </si>
  <si>
    <t>Để nhường khoảng trống cho Dầu Hạt Đen và Amla Extract.</t>
  </si>
  <si>
    <t>Giúp công thức thanh thoát hơn, gội rửa dễ dàng hơn.</t>
  </si>
  <si>
    <t>Đủ để dưỡng ẩm mà không gây nặng chân tóc.</t>
  </si>
  <si>
    <t>• Tăng Emosmart L19 (18%) &amp; Caprylic Triglyceride (22%).
• Loại bỏ hoàn toàn Dầu Dừa tinh luyện.
• Tổng nồng độ tinh dầu 4.3% đạt ngưỡng an toàn chuẩn Y khoa.</t>
  </si>
  <si>
    <t>• Phụ thuộc vào Tinh dầu Tràm trà &amp; Bạc hà 
• Dễ gây viêm da tiếp xúc (contact dermatitis) hoặc dị ứng cho da đầu yếu.</t>
  </si>
  <si>
    <t>Có sẵn Việt Nam</t>
  </si>
  <si>
    <t>Đề Xuất NCC</t>
  </si>
  <si>
    <t>Công thức Shizencos</t>
  </si>
  <si>
    <t>Nguồn Cung</t>
  </si>
  <si>
    <t>Nguyên Liệu Thay Thế Tại VN</t>
  </si>
  <si>
    <t xml:space="preserve"> Benchmark</t>
  </si>
  <si>
    <t xml:space="preserve"> Shizencos</t>
  </si>
  <si>
    <t>Gap Analysis</t>
  </si>
  <si>
    <t>Tên Nguyên Liệu Thay Thế VN</t>
  </si>
  <si>
    <t>% Tỷ Lệ Đề Xuất</t>
  </si>
  <si>
    <t>Nguyên Liệu Quốc Tế Được Thay Thế</t>
  </si>
  <si>
    <t>Phân Tích Đảm Bảo 4 Công Dụng Benchmark &amp; Đánh Giá Kỹ Thuật R&amp;D</t>
  </si>
  <si>
    <t>Giữ nguyên (Có sẵn rộng rãi tại VN)</t>
  </si>
  <si>
    <t>CÔNG DỤNG 2: Dầu este nhẹ giúp nhũ hóa bã nhờn, làm dung môi tản đều các chiết xuất thảo mộc.</t>
  </si>
  <si>
    <t>Giữ nguyên (Sẵn có tại các nhà phân phối VN)</t>
  </si>
  <si>
    <t>CÔNG DỤNG 2: Alkane xốp mượt, tạo độ bay hơi nhẹ, giúp gội rửa sạch hoàn toàn mà không bết dính.</t>
  </si>
  <si>
    <t>Giữ nguyên (Phổ biến tại VN)</t>
  </si>
  <si>
    <t>CÔNG DỤNG 2: Dầu mô phỏng bã nhờn tự nhiên, cân bằng tiết dầu và làm mềm lớp sừng da đầu.</t>
  </si>
  <si>
    <t>CÔNG DỤNG 2 &amp; 4: Dầu béo mỏng nhẹ chứa hàm lượng Linoleic Acid cao, chống oxy hóa nhẹ.</t>
  </si>
  <si>
    <t>Dầu Cám Gạo Việt Nam</t>
  </si>
  <si>
    <t>CÔNG DỤNG 4: Nguồn nguyên liệu Việt Nam dồi dào, cực kỳ giàu Gamma-Oryzanol &amp; Ferulic Acid chống lão hóa nang tóc.</t>
  </si>
  <si>
    <t>CÔNG DỤNG 4: Phục hồi biểu bì tóc và bảo vệ lớp màng Lipid da đầu.</t>
  </si>
  <si>
    <t>CÔNG DỤNG 2: Dầu nền đệm giúp hòa tan chiết xuất thảo mộc nội địa.</t>
  </si>
  <si>
    <t>Chiết xuất Hà Thủ Ô Đỏ &amp; Cỏ Mực tan dầu (MỚI VN)</t>
  </si>
  <si>
    <t>Polygonum Multiflorum &amp; Eclipta Prostrata Extract in Caprylic Triglyceride</t>
  </si>
  <si>
    <t>Thay thế Amla Fruit Extract</t>
  </si>
  <si>
    <t>CÔNG DỤNG 1 (CỰC MẠNH): Hà Thủ Ô đỏ kết hợp Cỏ Mực là 'thần dược' mọc tóc truyền thống VN. Giàu Stilbene glycoside &amp; Wedelolactone giúp ức chế 5-alpha reductase, ngăn rụng tóc, kích thích nang tóc phát triển và làm đen tóc vượt trội.</t>
  </si>
  <si>
    <t>Chiết xuất Hạt Phá Cố Chỉ tan dầu (MỚI VN)</t>
  </si>
  <si>
    <t>Psoralea Corylifolia Seed Extract in Caprylic Triglyceride</t>
  </si>
  <si>
    <t>Thay thế Bakuchiol tinh khiết 99%</t>
  </si>
  <si>
    <t>CÔNG DỤNG 1: Chiết xuất thô từ Hạt Phá Cố Chỉ chứa hàm lượng tự nhiên Bakuchiol &amp; Isobakuchal, giúp tăng sinh collagen nang tóc, trẻ hóa da đầu và ngăn ngừa teo nang tóc.</t>
  </si>
  <si>
    <t>Dầu Mè Đen Ép Lạnh Việt Nam (MỚI VN)</t>
  </si>
  <si>
    <t>Sesamum Indicum (Sesame) Seed Oil</t>
  </si>
  <si>
    <t>Thay thế Dầu Hạt Đen (Nigella Sativa Oil)</t>
  </si>
  <si>
    <t>CÔNG DỤNG 1 &amp; 3: Dầu Mè Đen ép lạnh nguyên chất VN rất giàu Sesamin, Sesamol &amp; Omega-6. Có khả năng thẩm thấu cực sâu nuôi dưỡng gốc tóc, kháng viêm và kích thích mọc tóc hiệu quả tương đương Black Seed Oil.</t>
  </si>
  <si>
    <t>Chiết xuất Lá Trầu Không tan dầu (MỚI VN)</t>
  </si>
  <si>
    <t>Piper Betle Leaf Extract in Caprylic Triglyceride</t>
  </si>
  <si>
    <t>Thay thế Chiết xuất Neem / Sầu đâu</t>
  </si>
  <si>
    <t>CÔNG DỤNG 3 (ĐẶC TRỊ GÀU NẤM): Lá Trầu Không VN chứa Eugenol, Chavicol &amp; Hydroxychavicol kháng nấm Malassezia và vi khuẩn gàu cực mạnh, làm dịu cơn ngứa da đầu tức thì và vô cùng dịu nhẹ.</t>
  </si>
  <si>
    <t>Dầu Chùm Ngây Ép Lạnh Nguyên Chất VN (MỚI VN)</t>
  </si>
  <si>
    <t>Dầu Chùm Ngây (Sẵn có 100% nội địa)</t>
  </si>
  <si>
    <t>CÔNG DỤNG 4: Việt Nam là vùng nguyên liệu Chùm Ngây chất lượng cao. Dầu giàu Behenic Acid giúp tái tạo màng Lipid, phục hồi hàng rào bảo vệ da đầu bị tổn thương.</t>
  </si>
  <si>
    <t>Tinh dầu Bưởi da xanh VN</t>
  </si>
  <si>
    <t>Tinh dầu Bưởi (Sẵn có 100% VN)</t>
  </si>
  <si>
    <t>CÔNG DỤNG 1: Tinh dầu Bưởi da xanh Việt Nam giàu Limonene &amp; Myrcene, kích thích lưu thông máu nuôi dưỡng nang tóc.</t>
  </si>
  <si>
    <t>CÔNG DỤNG 1 &amp; 4: Ức chế DHT tự nhiên, kích thích mọc tóc chuẩn Y khoa.</t>
  </si>
  <si>
    <t>Tinh dầu Gừng Huế / VN</t>
  </si>
  <si>
    <t>CÔNG DỤNG 1: Làm ấm da đầu, giãn mạch máu cục bộ để hoạt chất dễ thẩm thấu.</t>
  </si>
  <si>
    <t>Tinh dầu Nghệ VN</t>
  </si>
  <si>
    <t>CÔNG DỤNG 3 &amp; 4: Kháng viêm, làm lành các vết xước nhỏ do gãi gàu trên da đầu.</t>
  </si>
  <si>
    <t>Tinh dầu Bạc hà VN</t>
  </si>
  <si>
    <t>CÔNG DỤNG 3: Tạo cảm giác mát dịu sảng khoái nhẹ nhàng, giảm ngứa.</t>
  </si>
  <si>
    <t>Melaleuca Alternifolia Leaf Oil</t>
  </si>
  <si>
    <t>CÔNG DỤNG 3: Kháng khuẩn, phối hợp cùng Chiết xuất Trầu Không tiêu diệt vi khuẩn gàu.</t>
  </si>
  <si>
    <t>Tinh dầu Oải hương</t>
  </si>
  <si>
    <t>CÔNG DỤNG 3: Làm dịu thần kinh da đầu, giảm stress - nguyên nhân gây rụng tóc.</t>
  </si>
  <si>
    <t>Giữ nguyên (Sẵn có tại VN)</t>
  </si>
  <si>
    <t>CÔNG DỤNG 3: Hoạt chất làm dịu mẩn đỏ, xoa dịu kích ứng da đầu.</t>
  </si>
  <si>
    <t>Mix Tocopherols 90% (Vitamin E Tan Dầu) (MỚI VN)</t>
  </si>
  <si>
    <t>Tocopherol (Mixed Tocopherols)</t>
  </si>
  <si>
    <t>Thay thế Tocopherol BASF/DSM</t>
  </si>
  <si>
    <t>CÔNG DỤNG 4: Vitamin E hỗn hợp tan dầu phổ biến tại VN, chống oxy hóa gốc tự do và bảo vệ toàn bộ hệ dầu béo không bị ôi thiu.</t>
  </si>
  <si>
    <t>Giữ nguyên</t>
  </si>
  <si>
    <t>CÔNG DỤNG 4: Dưỡng ẩm tế bào da đầu và bảo vệ khỏi tác hại ô nhiễm môi trường.</t>
  </si>
  <si>
    <t>TỔNG CỘNG HỆ CÔNG THỨC NỘI ĐỊA VN (%)</t>
  </si>
  <si>
    <t>100% Nguồn cung VN</t>
  </si>
  <si>
    <t>ĐẢM BẢO 100% 4 CÔNG DỤNG BENCHMARK</t>
  </si>
  <si>
    <t>CÔNG THỨC TỪ NGUYÊN LIỆU NỘI ĐỊA VIỆT NAM (LOCAL BACKUP)</t>
  </si>
  <si>
    <t xml:space="preserve">• Nhớt &amp; bết dính hơn do chứa Dầu Dừa tinh luyện &amp; Dầu Cám gạo.
</t>
  </si>
  <si>
    <t xml:space="preserve">• Dầu dừa &amp; Dầu cám gạo dính chặt vào sợi tóc.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</si>
</sst>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quot;"/>
  </numFmts>
  <fonts count="6" x14ac:knownFonts="1">
    <font>
      <sz val="11"/>
      <color theme="1"/>
      <name val="Calibri"/>
      <family val="2"/>
      <scheme val="minor"/>
    </font>
    <font>
      <b/>
      <sz val="16"/>
      <color rgb="FF3A242B"/>
      <name val="Segoe UI"/>
    </font>
    <font>
      <i/>
      <sz val="11"/>
      <color rgb="FF7D636B"/>
      <name val="Segoe UI"/>
    </font>
    <font>
      <b/>
      <sz val="11"/>
      <color rgb="FFFFFFFF"/>
      <name val="Segoe UI"/>
    </font>
    <font>
      <sz val="10"/>
      <color rgb="FF222222"/>
      <name val="Segoe UI"/>
    </font>
    <font>
      <b/>
      <sz val="10"/>
      <color rgb="FF3A242B"/>
      <name val="Segoe UI"/>
    </font>
  </fonts>
  <fills count="5">
    <fill>
      <patternFill patternType="none"/>
    </fill>
    <fill>
      <patternFill patternType="gray125"/>
    </fill>
    <fill>
      <patternFill patternType="solid">
        <fgColor rgb="FF3A242B"/>
        <bgColor rgb="FF3A242B"/>
      </patternFill>
    </fill>
    <fill>
      <patternFill patternType="solid">
        <fgColor rgb="FFFFF5F9"/>
        <bgColor rgb="FFFFF5F9"/>
      </patternFill>
    </fill>
    <fill>
      <patternFill patternType="solid">
        <fgColor rgb="FFF5E6ED"/>
        <bgColor rgb="FFF5E6ED"/>
      </patternFill>
    </fill>
  </fills>
  <borders count="6">
    <border>
      <left/>
      <right/>
      <top/>
      <bottom/>
      <diagonal/>
    </border>
    <border>
      <left style="thin">
        <color rgb="FFD0B8C3"/>
      </left>
      <right style="thin">
        <color rgb="FFD0B8C3"/>
      </right>
      <top style="thin">
        <color rgb="FFD0B8C3"/>
      </top>
      <bottom style="medium">
        <color rgb="FF3A242B"/>
      </bottom>
      <diagonal/>
    </border>
    <border>
      <left style="thin">
        <color rgb="FFD0B8C3"/>
      </left>
      <right style="thin">
        <color rgb="FFD0B8C3"/>
      </right>
      <top style="thin">
        <color rgb="FFD0B8C3"/>
      </top>
      <bottom style="thin">
        <color rgb="FFD0B8C3"/>
      </bottom>
      <diagonal/>
    </border>
    <border>
      <left style="thin">
        <color rgb="FFD0B8C3"/>
      </left>
      <right/>
      <top style="thin">
        <color rgb="FFD0B8C3"/>
      </top>
      <bottom style="thin">
        <color rgb="FFD0B8C3"/>
      </bottom>
      <diagonal/>
    </border>
    <border>
      <left/>
      <right/>
      <top style="thin">
        <color rgb="FFD0B8C3"/>
      </top>
      <bottom style="thin">
        <color rgb="FFD0B8C3"/>
      </bottom>
      <diagonal/>
    </border>
    <border>
      <left/>
      <right style="thin">
        <color rgb="FFD0B8C3"/>
      </right>
      <top style="thin">
        <color rgb="FFD0B8C3"/>
      </top>
      <bottom style="thin">
        <color rgb="FFD0B8C3"/>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4" fillId="0" borderId="2" xfId="0" applyFont="1" applyBorder="1" applyAlignment="1">
      <alignment horizontal="left" vertical="center" wrapText="1"/>
    </xf>
    <xf numFmtId="164" fontId="5" fillId="3" borderId="2" xfId="0" applyNumberFormat="1" applyFont="1" applyFill="1" applyBorder="1" applyAlignment="1">
      <alignment horizontal="right" vertical="center" wrapText="1"/>
    </xf>
    <xf numFmtId="164" fontId="5" fillId="0" borderId="2" xfId="0" applyNumberFormat="1" applyFont="1" applyBorder="1" applyAlignment="1">
      <alignment horizontal="right" vertical="center" wrapText="1"/>
    </xf>
    <xf numFmtId="164" fontId="5" fillId="4" borderId="2" xfId="0" applyNumberFormat="1" applyFont="1" applyFill="1" applyBorder="1" applyAlignment="1">
      <alignment horizontal="right" vertical="center" wrapText="1"/>
    </xf>
    <xf numFmtId="0" fontId="0" fillId="0" borderId="0" xfId="0" applyAlignment="1">
      <alignment horizontal="center"/>
    </xf>
    <xf numFmtId="164" fontId="4" fillId="3" borderId="2" xfId="0" applyNumberFormat="1" applyFont="1" applyFill="1" applyBorder="1" applyAlignment="1">
      <alignment horizontal="center" vertical="center" wrapText="1"/>
    </xf>
    <xf numFmtId="164" fontId="4" fillId="0" borderId="2" xfId="0" applyNumberFormat="1" applyFont="1" applyBorder="1" applyAlignment="1">
      <alignment horizontal="center" vertical="center" wrapText="1"/>
    </xf>
    <xf numFmtId="164" fontId="5" fillId="4" borderId="2"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164" fontId="5" fillId="3" borderId="2" xfId="0" applyNumberFormat="1" applyFont="1" applyFill="1" applyBorder="1" applyAlignment="1">
      <alignment horizontal="center" vertical="center" wrapText="1"/>
    </xf>
    <xf numFmtId="164" fontId="5" fillId="0" borderId="2" xfId="0" applyNumberFormat="1"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8"/>
  <sheetViews>
    <sheetView topLeftCell="B1" workbookViewId="0">
      <selection activeCell="H4" sqref="H4"/>
    </sheetView>
  </sheetViews>
  <sheetFormatPr defaultRowHeight="14.5" x14ac:dyDescent="0.35"/>
  <cols>
    <col min="1" max="1" width="6" customWidth="1"/>
    <col min="2" max="2" width="22" customWidth="1"/>
    <col min="3" max="3" width="32" customWidth="1"/>
    <col min="4" max="4" width="38" customWidth="1"/>
    <col min="5" max="5" width="32" customWidth="1"/>
    <col min="6" max="6" width="38" customWidth="1"/>
    <col min="7" max="7" width="30" customWidth="1"/>
    <col min="8" max="9" width="32" customWidth="1"/>
  </cols>
  <sheetData>
    <row r="1" spans="1:9" ht="25" x14ac:dyDescent="0.7">
      <c r="A1" s="1" t="s">
        <v>0</v>
      </c>
    </row>
    <row r="2" spans="1:9" ht="16.5" x14ac:dyDescent="0.45">
      <c r="A2" s="2"/>
    </row>
    <row r="4" spans="1:9" ht="28" customHeight="1" thickBot="1" x14ac:dyDescent="0.4">
      <c r="A4" s="3" t="s">
        <v>1</v>
      </c>
      <c r="B4" s="3" t="s">
        <v>2</v>
      </c>
      <c r="C4" s="3" t="s">
        <v>204</v>
      </c>
      <c r="D4" s="3" t="s">
        <v>3</v>
      </c>
      <c r="E4" s="3" t="s">
        <v>205</v>
      </c>
      <c r="F4" s="3" t="s">
        <v>4</v>
      </c>
      <c r="G4" s="3" t="s">
        <v>206</v>
      </c>
      <c r="H4" s="3" t="s">
        <v>5</v>
      </c>
      <c r="I4" s="3" t="s">
        <v>200</v>
      </c>
    </row>
    <row r="5" spans="1:9" ht="110" customHeight="1" x14ac:dyDescent="0.35">
      <c r="A5" s="4">
        <v>1</v>
      </c>
      <c r="B5" s="5" t="s">
        <v>6</v>
      </c>
      <c r="C5" s="6" t="s">
        <v>7</v>
      </c>
      <c r="D5" s="6" t="s">
        <v>8</v>
      </c>
      <c r="E5" s="6" t="s">
        <v>9</v>
      </c>
      <c r="F5" s="6" t="s">
        <v>10</v>
      </c>
      <c r="G5" s="6" t="s">
        <v>11</v>
      </c>
      <c r="H5" s="6" t="s">
        <v>12</v>
      </c>
      <c r="I5" s="6"/>
    </row>
    <row r="6" spans="1:9" ht="110" customHeight="1" x14ac:dyDescent="0.35">
      <c r="A6" s="7">
        <v>2</v>
      </c>
      <c r="B6" s="8" t="s">
        <v>13</v>
      </c>
      <c r="C6" s="9" t="s">
        <v>14</v>
      </c>
      <c r="D6" s="9" t="s">
        <v>15</v>
      </c>
      <c r="E6" s="9" t="s">
        <v>16</v>
      </c>
      <c r="F6" s="9" t="s">
        <v>17</v>
      </c>
      <c r="G6" s="9" t="s">
        <v>18</v>
      </c>
      <c r="H6" s="9" t="s">
        <v>19</v>
      </c>
      <c r="I6" s="9"/>
    </row>
    <row r="7" spans="1:9" ht="110" customHeight="1" x14ac:dyDescent="0.35">
      <c r="A7" s="4">
        <v>3</v>
      </c>
      <c r="B7" s="5" t="s">
        <v>20</v>
      </c>
      <c r="C7" s="6" t="s">
        <v>21</v>
      </c>
      <c r="D7" s="6" t="s">
        <v>22</v>
      </c>
      <c r="E7" s="6" t="s">
        <v>23</v>
      </c>
      <c r="F7" s="6" t="s">
        <v>24</v>
      </c>
      <c r="G7" s="6" t="s">
        <v>25</v>
      </c>
      <c r="H7" s="6" t="s">
        <v>26</v>
      </c>
      <c r="I7" s="6"/>
    </row>
    <row r="8" spans="1:9" ht="110" customHeight="1" x14ac:dyDescent="0.35">
      <c r="A8" s="7">
        <v>4</v>
      </c>
      <c r="B8" s="8" t="s">
        <v>27</v>
      </c>
      <c r="C8" s="9" t="s">
        <v>28</v>
      </c>
      <c r="D8" s="9" t="s">
        <v>29</v>
      </c>
      <c r="E8" s="9" t="s">
        <v>30</v>
      </c>
      <c r="F8" s="9" t="s">
        <v>31</v>
      </c>
      <c r="G8" s="9" t="s">
        <v>32</v>
      </c>
      <c r="H8" s="9" t="s">
        <v>33</v>
      </c>
      <c r="I8" s="9"/>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28"/>
  <sheetViews>
    <sheetView workbookViewId="0">
      <selection activeCell="F4" sqref="F4"/>
    </sheetView>
  </sheetViews>
  <sheetFormatPr defaultRowHeight="14.5" x14ac:dyDescent="0.35"/>
  <cols>
    <col min="1" max="1" width="6" customWidth="1"/>
    <col min="2" max="2" width="8" customWidth="1"/>
    <col min="3" max="3" width="19.7265625" customWidth="1"/>
    <col min="4" max="4" width="26.90625" customWidth="1"/>
    <col min="5" max="5" width="11.36328125" customWidth="1"/>
    <col min="6" max="6" width="13.08984375" style="13" customWidth="1"/>
    <col min="7" max="7" width="38" customWidth="1"/>
    <col min="8" max="8" width="36.453125" customWidth="1"/>
    <col min="9" max="9" width="27.36328125" customWidth="1"/>
  </cols>
  <sheetData>
    <row r="1" spans="1:9" ht="25" x14ac:dyDescent="0.7">
      <c r="A1" s="1" t="s">
        <v>34</v>
      </c>
    </row>
    <row r="2" spans="1:9" ht="16.5" x14ac:dyDescent="0.45">
      <c r="A2" s="2"/>
    </row>
    <row r="4" spans="1:9" ht="53" customHeight="1" thickBot="1" x14ac:dyDescent="0.4">
      <c r="A4" s="3" t="s">
        <v>1</v>
      </c>
      <c r="B4" s="3" t="s">
        <v>35</v>
      </c>
      <c r="C4" s="3" t="s">
        <v>36</v>
      </c>
      <c r="D4" s="3" t="s">
        <v>37</v>
      </c>
      <c r="E4" s="3" t="s">
        <v>38</v>
      </c>
      <c r="F4" s="3" t="s">
        <v>201</v>
      </c>
      <c r="G4" s="3" t="s">
        <v>39</v>
      </c>
      <c r="H4" s="3" t="s">
        <v>40</v>
      </c>
      <c r="I4" s="3" t="s">
        <v>200</v>
      </c>
    </row>
    <row r="5" spans="1:9" ht="45" customHeight="1" x14ac:dyDescent="0.35">
      <c r="A5" s="4">
        <v>1</v>
      </c>
      <c r="B5" s="5" t="s">
        <v>41</v>
      </c>
      <c r="C5" s="6" t="s">
        <v>42</v>
      </c>
      <c r="D5" s="6" t="s">
        <v>43</v>
      </c>
      <c r="E5" s="10">
        <v>22</v>
      </c>
      <c r="F5" s="14" t="s">
        <v>184</v>
      </c>
      <c r="G5" s="6" t="s">
        <v>44</v>
      </c>
      <c r="H5" s="6" t="s">
        <v>45</v>
      </c>
      <c r="I5" s="6"/>
    </row>
    <row r="6" spans="1:9" ht="45" customHeight="1" x14ac:dyDescent="0.35">
      <c r="A6" s="7">
        <v>2</v>
      </c>
      <c r="B6" s="8" t="s">
        <v>41</v>
      </c>
      <c r="C6" s="9" t="s">
        <v>46</v>
      </c>
      <c r="D6" s="9" t="s">
        <v>47</v>
      </c>
      <c r="E6" s="11">
        <v>18</v>
      </c>
      <c r="F6" s="15" t="s">
        <v>184</v>
      </c>
      <c r="G6" s="9" t="s">
        <v>48</v>
      </c>
      <c r="H6" s="9" t="s">
        <v>192</v>
      </c>
      <c r="I6" s="9"/>
    </row>
    <row r="7" spans="1:9" ht="45" customHeight="1" x14ac:dyDescent="0.35">
      <c r="A7" s="4">
        <v>3</v>
      </c>
      <c r="B7" s="5" t="s">
        <v>41</v>
      </c>
      <c r="C7" s="6" t="s">
        <v>49</v>
      </c>
      <c r="D7" s="6" t="s">
        <v>50</v>
      </c>
      <c r="E7" s="10">
        <v>6</v>
      </c>
      <c r="F7" s="14" t="s">
        <v>184</v>
      </c>
      <c r="G7" s="6" t="s">
        <v>51</v>
      </c>
      <c r="H7" s="6" t="s">
        <v>193</v>
      </c>
      <c r="I7" s="6"/>
    </row>
    <row r="8" spans="1:9" ht="45" customHeight="1" x14ac:dyDescent="0.35">
      <c r="A8" s="7">
        <v>4</v>
      </c>
      <c r="B8" s="8" t="s">
        <v>41</v>
      </c>
      <c r="C8" s="9" t="s">
        <v>52</v>
      </c>
      <c r="D8" s="9" t="s">
        <v>53</v>
      </c>
      <c r="E8" s="11">
        <v>4</v>
      </c>
      <c r="F8" s="15" t="s">
        <v>184</v>
      </c>
      <c r="G8" s="9" t="s">
        <v>54</v>
      </c>
      <c r="H8" s="9" t="s">
        <v>194</v>
      </c>
      <c r="I8" s="9"/>
    </row>
    <row r="9" spans="1:9" ht="45" customHeight="1" x14ac:dyDescent="0.35">
      <c r="A9" s="4">
        <v>5</v>
      </c>
      <c r="B9" s="5" t="s">
        <v>41</v>
      </c>
      <c r="C9" s="6" t="s">
        <v>55</v>
      </c>
      <c r="D9" s="6" t="s">
        <v>56</v>
      </c>
      <c r="E9" s="10">
        <v>5</v>
      </c>
      <c r="F9" s="14" t="s">
        <v>184</v>
      </c>
      <c r="G9" s="6" t="s">
        <v>57</v>
      </c>
      <c r="H9" s="6" t="s">
        <v>195</v>
      </c>
      <c r="I9" s="6"/>
    </row>
    <row r="10" spans="1:9" ht="45" customHeight="1" x14ac:dyDescent="0.35">
      <c r="A10" s="7">
        <v>6</v>
      </c>
      <c r="B10" s="8" t="s">
        <v>41</v>
      </c>
      <c r="C10" s="9" t="s">
        <v>58</v>
      </c>
      <c r="D10" s="9" t="s">
        <v>59</v>
      </c>
      <c r="E10" s="11">
        <v>3</v>
      </c>
      <c r="F10" s="15" t="s">
        <v>184</v>
      </c>
      <c r="G10" s="9" t="s">
        <v>60</v>
      </c>
      <c r="H10" s="9" t="s">
        <v>196</v>
      </c>
      <c r="I10" s="9"/>
    </row>
    <row r="11" spans="1:9" ht="45" customHeight="1" x14ac:dyDescent="0.35">
      <c r="A11" s="4">
        <v>7</v>
      </c>
      <c r="B11" s="5" t="s">
        <v>41</v>
      </c>
      <c r="C11" s="6" t="s">
        <v>61</v>
      </c>
      <c r="D11" s="6" t="s">
        <v>62</v>
      </c>
      <c r="E11" s="10">
        <v>0</v>
      </c>
      <c r="F11" s="14" t="s">
        <v>185</v>
      </c>
      <c r="G11" s="6" t="s">
        <v>63</v>
      </c>
      <c r="H11" s="6" t="s">
        <v>64</v>
      </c>
      <c r="I11" s="6"/>
    </row>
    <row r="12" spans="1:9" ht="45" customHeight="1" x14ac:dyDescent="0.35">
      <c r="A12" s="7">
        <v>8</v>
      </c>
      <c r="B12" s="8" t="s">
        <v>41</v>
      </c>
      <c r="C12" s="9" t="s">
        <v>65</v>
      </c>
      <c r="D12" s="9" t="s">
        <v>66</v>
      </c>
      <c r="E12" s="11">
        <v>8</v>
      </c>
      <c r="F12" s="15" t="s">
        <v>184</v>
      </c>
      <c r="G12" s="9" t="s">
        <v>67</v>
      </c>
      <c r="H12" s="9" t="s">
        <v>68</v>
      </c>
      <c r="I12" s="9"/>
    </row>
    <row r="13" spans="1:9" ht="45" customHeight="1" x14ac:dyDescent="0.35">
      <c r="A13" s="4">
        <v>9</v>
      </c>
      <c r="B13" s="5" t="s">
        <v>69</v>
      </c>
      <c r="C13" s="6" t="s">
        <v>70</v>
      </c>
      <c r="D13" s="6" t="s">
        <v>71</v>
      </c>
      <c r="E13" s="10">
        <v>3</v>
      </c>
      <c r="F13" s="14" t="s">
        <v>186</v>
      </c>
      <c r="G13" s="6" t="s">
        <v>72</v>
      </c>
      <c r="H13" s="6" t="s">
        <v>73</v>
      </c>
      <c r="I13" s="6"/>
    </row>
    <row r="14" spans="1:9" ht="45" customHeight="1" x14ac:dyDescent="0.35">
      <c r="A14" s="7">
        <v>10</v>
      </c>
      <c r="B14" s="8" t="s">
        <v>69</v>
      </c>
      <c r="C14" s="9" t="s">
        <v>74</v>
      </c>
      <c r="D14" s="9" t="s">
        <v>75</v>
      </c>
      <c r="E14" s="11">
        <v>0.5</v>
      </c>
      <c r="F14" s="15" t="s">
        <v>186</v>
      </c>
      <c r="G14" s="9" t="s">
        <v>76</v>
      </c>
      <c r="H14" s="9" t="s">
        <v>77</v>
      </c>
      <c r="I14" s="9"/>
    </row>
    <row r="15" spans="1:9" ht="45" customHeight="1" x14ac:dyDescent="0.35">
      <c r="A15" s="4">
        <v>11</v>
      </c>
      <c r="B15" s="5" t="s">
        <v>69</v>
      </c>
      <c r="C15" s="6" t="s">
        <v>78</v>
      </c>
      <c r="D15" s="6" t="s">
        <v>79</v>
      </c>
      <c r="E15" s="10">
        <v>2.5</v>
      </c>
      <c r="F15" s="14" t="s">
        <v>186</v>
      </c>
      <c r="G15" s="6" t="s">
        <v>80</v>
      </c>
      <c r="H15" s="6" t="s">
        <v>81</v>
      </c>
      <c r="I15" s="6"/>
    </row>
    <row r="16" spans="1:9" ht="45" customHeight="1" x14ac:dyDescent="0.35">
      <c r="A16" s="7">
        <v>12</v>
      </c>
      <c r="B16" s="8" t="s">
        <v>69</v>
      </c>
      <c r="C16" s="9" t="s">
        <v>82</v>
      </c>
      <c r="D16" s="9" t="s">
        <v>83</v>
      </c>
      <c r="E16" s="11">
        <v>1.5</v>
      </c>
      <c r="F16" s="15" t="s">
        <v>186</v>
      </c>
      <c r="G16" s="9" t="s">
        <v>84</v>
      </c>
      <c r="H16" s="9" t="s">
        <v>85</v>
      </c>
      <c r="I16" s="9"/>
    </row>
    <row r="17" spans="1:9" ht="45" customHeight="1" x14ac:dyDescent="0.35">
      <c r="A17" s="4">
        <v>13</v>
      </c>
      <c r="B17" s="5" t="s">
        <v>69</v>
      </c>
      <c r="C17" s="6" t="s">
        <v>86</v>
      </c>
      <c r="D17" s="6" t="s">
        <v>87</v>
      </c>
      <c r="E17" s="10">
        <v>2</v>
      </c>
      <c r="F17" s="14" t="s">
        <v>186</v>
      </c>
      <c r="G17" s="6" t="s">
        <v>88</v>
      </c>
      <c r="H17" s="6" t="s">
        <v>89</v>
      </c>
      <c r="I17" s="6"/>
    </row>
    <row r="18" spans="1:9" ht="45" customHeight="1" x14ac:dyDescent="0.35">
      <c r="A18" s="7">
        <v>14</v>
      </c>
      <c r="B18" s="8" t="s">
        <v>90</v>
      </c>
      <c r="C18" s="9" t="s">
        <v>91</v>
      </c>
      <c r="D18" s="9" t="s">
        <v>92</v>
      </c>
      <c r="E18" s="11">
        <v>1.5</v>
      </c>
      <c r="F18" s="15" t="s">
        <v>184</v>
      </c>
      <c r="G18" s="9" t="s">
        <v>93</v>
      </c>
      <c r="H18" s="9" t="s">
        <v>191</v>
      </c>
      <c r="I18" s="9"/>
    </row>
    <row r="19" spans="1:9" ht="45" customHeight="1" x14ac:dyDescent="0.35">
      <c r="A19" s="4">
        <v>15</v>
      </c>
      <c r="B19" s="5" t="s">
        <v>90</v>
      </c>
      <c r="C19" s="6" t="s">
        <v>94</v>
      </c>
      <c r="D19" s="6" t="s">
        <v>95</v>
      </c>
      <c r="E19" s="10">
        <v>1</v>
      </c>
      <c r="F19" s="14" t="s">
        <v>184</v>
      </c>
      <c r="G19" s="6" t="s">
        <v>96</v>
      </c>
      <c r="H19" s="6" t="s">
        <v>97</v>
      </c>
      <c r="I19" s="6"/>
    </row>
    <row r="20" spans="1:9" ht="45" customHeight="1" x14ac:dyDescent="0.35">
      <c r="A20" s="7">
        <v>16</v>
      </c>
      <c r="B20" s="8" t="s">
        <v>90</v>
      </c>
      <c r="C20" s="9" t="s">
        <v>98</v>
      </c>
      <c r="D20" s="9" t="s">
        <v>99</v>
      </c>
      <c r="E20" s="11">
        <v>0.5</v>
      </c>
      <c r="F20" s="15" t="s">
        <v>184</v>
      </c>
      <c r="G20" s="9" t="s">
        <v>100</v>
      </c>
      <c r="H20" s="9" t="s">
        <v>190</v>
      </c>
      <c r="I20" s="9"/>
    </row>
    <row r="21" spans="1:9" ht="45" customHeight="1" x14ac:dyDescent="0.35">
      <c r="A21" s="4">
        <v>17</v>
      </c>
      <c r="B21" s="5" t="s">
        <v>90</v>
      </c>
      <c r="C21" s="6" t="s">
        <v>101</v>
      </c>
      <c r="D21" s="6" t="s">
        <v>102</v>
      </c>
      <c r="E21" s="10">
        <v>0.5</v>
      </c>
      <c r="F21" s="14" t="s">
        <v>184</v>
      </c>
      <c r="G21" s="6" t="s">
        <v>103</v>
      </c>
      <c r="H21" s="6" t="s">
        <v>104</v>
      </c>
      <c r="I21" s="6"/>
    </row>
    <row r="22" spans="1:9" ht="45" customHeight="1" x14ac:dyDescent="0.35">
      <c r="A22" s="7">
        <v>18</v>
      </c>
      <c r="B22" s="8" t="s">
        <v>90</v>
      </c>
      <c r="C22" s="9" t="s">
        <v>105</v>
      </c>
      <c r="D22" s="9" t="s">
        <v>106</v>
      </c>
      <c r="E22" s="11">
        <v>0.3</v>
      </c>
      <c r="F22" s="15" t="s">
        <v>187</v>
      </c>
      <c r="G22" s="9" t="s">
        <v>107</v>
      </c>
      <c r="H22" s="9" t="s">
        <v>189</v>
      </c>
      <c r="I22" s="9"/>
    </row>
    <row r="23" spans="1:9" ht="45" customHeight="1" x14ac:dyDescent="0.35">
      <c r="A23" s="4">
        <v>19</v>
      </c>
      <c r="B23" s="5" t="s">
        <v>90</v>
      </c>
      <c r="C23" s="6" t="s">
        <v>108</v>
      </c>
      <c r="D23" s="6" t="s">
        <v>109</v>
      </c>
      <c r="E23" s="10">
        <v>0.5</v>
      </c>
      <c r="F23" s="14" t="s">
        <v>184</v>
      </c>
      <c r="G23" s="6" t="s">
        <v>110</v>
      </c>
      <c r="H23" s="6" t="s">
        <v>188</v>
      </c>
      <c r="I23" s="6"/>
    </row>
    <row r="24" spans="1:9" ht="45" customHeight="1" x14ac:dyDescent="0.35">
      <c r="A24" s="7">
        <v>20</v>
      </c>
      <c r="B24" s="8" t="s">
        <v>90</v>
      </c>
      <c r="C24" s="9" t="s">
        <v>111</v>
      </c>
      <c r="D24" s="9" t="s">
        <v>112</v>
      </c>
      <c r="E24" s="11">
        <v>0.5</v>
      </c>
      <c r="F24" s="15" t="s">
        <v>186</v>
      </c>
      <c r="G24" s="9" t="s">
        <v>113</v>
      </c>
      <c r="H24" s="9" t="s">
        <v>114</v>
      </c>
      <c r="I24" s="9"/>
    </row>
    <row r="25" spans="1:9" ht="45" customHeight="1" x14ac:dyDescent="0.35">
      <c r="A25" s="4">
        <v>21</v>
      </c>
      <c r="B25" s="5" t="s">
        <v>115</v>
      </c>
      <c r="C25" s="6" t="s">
        <v>116</v>
      </c>
      <c r="D25" s="6" t="s">
        <v>116</v>
      </c>
      <c r="E25" s="10">
        <v>0.7</v>
      </c>
      <c r="F25" s="14" t="s">
        <v>184</v>
      </c>
      <c r="G25" s="6" t="s">
        <v>117</v>
      </c>
      <c r="H25" s="6" t="s">
        <v>118</v>
      </c>
      <c r="I25" s="6"/>
    </row>
    <row r="26" spans="1:9" ht="45" customHeight="1" x14ac:dyDescent="0.35">
      <c r="A26" s="7">
        <v>22</v>
      </c>
      <c r="B26" s="8" t="s">
        <v>115</v>
      </c>
      <c r="C26" s="9" t="s">
        <v>119</v>
      </c>
      <c r="D26" s="9" t="s">
        <v>120</v>
      </c>
      <c r="E26" s="11">
        <v>0.5</v>
      </c>
      <c r="F26" s="15" t="s">
        <v>186</v>
      </c>
      <c r="G26" s="9" t="s">
        <v>121</v>
      </c>
      <c r="H26" s="9" t="s">
        <v>122</v>
      </c>
      <c r="I26" s="9"/>
    </row>
    <row r="27" spans="1:9" ht="45" customHeight="1" x14ac:dyDescent="0.35">
      <c r="A27" s="4">
        <v>23</v>
      </c>
      <c r="B27" s="5" t="s">
        <v>115</v>
      </c>
      <c r="C27" s="6" t="s">
        <v>123</v>
      </c>
      <c r="D27" s="6" t="s">
        <v>124</v>
      </c>
      <c r="E27" s="10">
        <v>0.5</v>
      </c>
      <c r="F27" s="14" t="s">
        <v>184</v>
      </c>
      <c r="G27" s="6" t="s">
        <v>125</v>
      </c>
      <c r="H27" s="6" t="s">
        <v>126</v>
      </c>
      <c r="I27" s="6"/>
    </row>
    <row r="28" spans="1:9" ht="25" customHeight="1" x14ac:dyDescent="0.35">
      <c r="A28" s="17" t="s">
        <v>127</v>
      </c>
      <c r="B28" s="18"/>
      <c r="C28" s="18"/>
      <c r="D28" s="19"/>
      <c r="E28" s="12">
        <f>SUM(E5:E27)</f>
        <v>82</v>
      </c>
      <c r="F28" s="16"/>
      <c r="G28" s="16" t="s">
        <v>128</v>
      </c>
      <c r="H28" s="16" t="s">
        <v>129</v>
      </c>
      <c r="I28" s="16"/>
    </row>
  </sheetData>
  <mergeCells count="1">
    <mergeCell ref="A28:D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9"/>
  <sheetViews>
    <sheetView tabSelected="1" workbookViewId="0">
      <selection activeCell="D6" sqref="D6"/>
    </sheetView>
  </sheetViews>
  <sheetFormatPr defaultRowHeight="14.5" x14ac:dyDescent="0.35"/>
  <cols>
    <col min="1" max="1" width="6" customWidth="1"/>
    <col min="2" max="2" width="33.1796875" customWidth="1"/>
    <col min="3" max="4" width="36" customWidth="1"/>
    <col min="5" max="6" width="45" customWidth="1"/>
  </cols>
  <sheetData>
    <row r="1" spans="1:6" ht="25" x14ac:dyDescent="0.7">
      <c r="A1" s="1" t="s">
        <v>130</v>
      </c>
    </row>
    <row r="2" spans="1:6" ht="16.5" x14ac:dyDescent="0.45">
      <c r="A2" s="2"/>
    </row>
    <row r="4" spans="1:6" ht="46" customHeight="1" thickBot="1" x14ac:dyDescent="0.4">
      <c r="A4" s="3" t="s">
        <v>1</v>
      </c>
      <c r="B4" s="3" t="s">
        <v>131</v>
      </c>
      <c r="C4" s="3" t="s">
        <v>132</v>
      </c>
      <c r="D4" s="3" t="s">
        <v>133</v>
      </c>
      <c r="E4" s="3" t="s">
        <v>134</v>
      </c>
      <c r="F4" s="3" t="s">
        <v>200</v>
      </c>
    </row>
    <row r="5" spans="1:6" ht="95" customHeight="1" x14ac:dyDescent="0.35">
      <c r="A5" s="4">
        <v>1</v>
      </c>
      <c r="B5" s="5" t="s">
        <v>135</v>
      </c>
      <c r="C5" s="6" t="s">
        <v>136</v>
      </c>
      <c r="D5" s="6" t="s">
        <v>137</v>
      </c>
      <c r="E5" s="6" t="s">
        <v>138</v>
      </c>
      <c r="F5" s="6"/>
    </row>
    <row r="6" spans="1:6" ht="95" customHeight="1" x14ac:dyDescent="0.35">
      <c r="A6" s="7">
        <v>2</v>
      </c>
      <c r="B6" s="8" t="s">
        <v>139</v>
      </c>
      <c r="C6" s="9" t="s">
        <v>267</v>
      </c>
      <c r="D6" s="9" t="s">
        <v>197</v>
      </c>
      <c r="E6" s="9" t="s">
        <v>140</v>
      </c>
      <c r="F6" s="9"/>
    </row>
    <row r="7" spans="1:6" ht="95" customHeight="1" x14ac:dyDescent="0.35">
      <c r="A7" s="4">
        <v>3</v>
      </c>
      <c r="B7" s="5" t="s">
        <v>141</v>
      </c>
      <c r="C7" s="6" t="s">
        <v>268</v>
      </c>
      <c r="D7" s="6" t="s">
        <v>142</v>
      </c>
      <c r="E7" s="6" t="s">
        <v>143</v>
      </c>
      <c r="F7" s="6"/>
    </row>
    <row r="8" spans="1:6" ht="95" customHeight="1" x14ac:dyDescent="0.35">
      <c r="A8" s="7">
        <v>4</v>
      </c>
      <c r="B8" s="8" t="s">
        <v>144</v>
      </c>
      <c r="C8" s="9" t="s">
        <v>198</v>
      </c>
      <c r="D8" s="9" t="s">
        <v>145</v>
      </c>
      <c r="E8" s="9" t="s">
        <v>146</v>
      </c>
      <c r="F8" s="9"/>
    </row>
    <row r="9" spans="1:6" ht="95" customHeight="1" x14ac:dyDescent="0.35">
      <c r="A9" s="4">
        <v>5</v>
      </c>
      <c r="B9" s="5" t="s">
        <v>147</v>
      </c>
      <c r="C9" s="6" t="s">
        <v>148</v>
      </c>
      <c r="D9" s="6" t="s">
        <v>149</v>
      </c>
      <c r="E9" s="6" t="s">
        <v>150</v>
      </c>
      <c r="F9"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10"/>
  <sheetViews>
    <sheetView workbookViewId="0">
      <selection activeCell="A2" sqref="A2"/>
    </sheetView>
  </sheetViews>
  <sheetFormatPr defaultRowHeight="14.5" x14ac:dyDescent="0.35"/>
  <cols>
    <col min="1" max="1" width="6" customWidth="1"/>
    <col min="2" max="2" width="28" customWidth="1"/>
    <col min="3" max="3" width="20.08984375" customWidth="1"/>
    <col min="4" max="4" width="33.08984375" customWidth="1"/>
    <col min="5" max="5" width="21.1796875" customWidth="1"/>
    <col min="6" max="6" width="15.36328125" style="13" customWidth="1"/>
    <col min="7" max="8" width="42" customWidth="1"/>
  </cols>
  <sheetData>
    <row r="1" spans="1:8" ht="25" x14ac:dyDescent="0.7">
      <c r="A1" s="1" t="s">
        <v>151</v>
      </c>
    </row>
    <row r="2" spans="1:8" ht="16.5" x14ac:dyDescent="0.45">
      <c r="A2" s="2" t="s">
        <v>152</v>
      </c>
    </row>
    <row r="4" spans="1:8" ht="48" customHeight="1" thickBot="1" x14ac:dyDescent="0.4">
      <c r="A4" s="3" t="s">
        <v>1</v>
      </c>
      <c r="B4" s="3" t="s">
        <v>153</v>
      </c>
      <c r="C4" s="3" t="s">
        <v>154</v>
      </c>
      <c r="D4" s="3" t="s">
        <v>203</v>
      </c>
      <c r="E4" s="3" t="s">
        <v>155</v>
      </c>
      <c r="F4" s="3" t="s">
        <v>202</v>
      </c>
      <c r="G4" s="3" t="s">
        <v>156</v>
      </c>
      <c r="H4" s="3" t="s">
        <v>200</v>
      </c>
    </row>
    <row r="5" spans="1:8" ht="80" customHeight="1" x14ac:dyDescent="0.35">
      <c r="A5" s="4">
        <v>1</v>
      </c>
      <c r="B5" s="6" t="s">
        <v>157</v>
      </c>
      <c r="C5" s="5" t="s">
        <v>171</v>
      </c>
      <c r="D5" s="6" t="s">
        <v>158</v>
      </c>
      <c r="E5" s="6" t="s">
        <v>159</v>
      </c>
      <c r="F5" s="4" t="s">
        <v>199</v>
      </c>
      <c r="G5" s="6" t="s">
        <v>160</v>
      </c>
      <c r="H5" s="6"/>
    </row>
    <row r="6" spans="1:8" ht="80" customHeight="1" x14ac:dyDescent="0.35">
      <c r="A6" s="7">
        <v>2</v>
      </c>
      <c r="B6" s="9" t="s">
        <v>161</v>
      </c>
      <c r="C6" s="8" t="s">
        <v>162</v>
      </c>
      <c r="D6" s="9" t="s">
        <v>163</v>
      </c>
      <c r="E6" s="9" t="s">
        <v>164</v>
      </c>
      <c r="F6" s="7" t="s">
        <v>199</v>
      </c>
      <c r="G6" s="9" t="s">
        <v>165</v>
      </c>
      <c r="H6" s="9"/>
    </row>
    <row r="7" spans="1:8" ht="80" customHeight="1" x14ac:dyDescent="0.35">
      <c r="A7" s="4">
        <v>3</v>
      </c>
      <c r="B7" s="6" t="s">
        <v>166</v>
      </c>
      <c r="C7" s="5" t="s">
        <v>171</v>
      </c>
      <c r="D7" s="6" t="s">
        <v>167</v>
      </c>
      <c r="E7" s="6" t="s">
        <v>168</v>
      </c>
      <c r="F7" s="4" t="s">
        <v>199</v>
      </c>
      <c r="G7" s="6" t="s">
        <v>169</v>
      </c>
      <c r="H7" s="6"/>
    </row>
    <row r="8" spans="1:8" ht="80" customHeight="1" x14ac:dyDescent="0.35">
      <c r="A8" s="7">
        <v>4</v>
      </c>
      <c r="B8" s="9" t="s">
        <v>170</v>
      </c>
      <c r="C8" s="8" t="s">
        <v>171</v>
      </c>
      <c r="D8" s="9" t="s">
        <v>172</v>
      </c>
      <c r="E8" s="9" t="s">
        <v>173</v>
      </c>
      <c r="F8" s="7" t="s">
        <v>199</v>
      </c>
      <c r="G8" s="9" t="s">
        <v>174</v>
      </c>
      <c r="H8" s="9"/>
    </row>
    <row r="9" spans="1:8" ht="80" customHeight="1" x14ac:dyDescent="0.35">
      <c r="A9" s="4">
        <v>5</v>
      </c>
      <c r="B9" s="6" t="s">
        <v>175</v>
      </c>
      <c r="C9" s="5" t="s">
        <v>176</v>
      </c>
      <c r="D9" s="6" t="s">
        <v>177</v>
      </c>
      <c r="E9" s="6" t="s">
        <v>87</v>
      </c>
      <c r="F9" s="4" t="s">
        <v>199</v>
      </c>
      <c r="G9" s="6" t="s">
        <v>178</v>
      </c>
      <c r="H9" s="6"/>
    </row>
    <row r="10" spans="1:8" ht="93.5" customHeight="1" x14ac:dyDescent="0.35">
      <c r="A10" s="7">
        <v>6</v>
      </c>
      <c r="B10" s="9" t="s">
        <v>179</v>
      </c>
      <c r="C10" s="8" t="s">
        <v>180</v>
      </c>
      <c r="D10" s="9" t="s">
        <v>181</v>
      </c>
      <c r="E10" s="9" t="s">
        <v>182</v>
      </c>
      <c r="F10" s="7" t="s">
        <v>199</v>
      </c>
      <c r="G10" s="9" t="s">
        <v>183</v>
      </c>
      <c r="H10" s="9"/>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4BE13-CF42-4E10-BAFE-1B4833490179}">
  <sheetPr codeName="Sheet5"/>
  <dimension ref="A1:G27"/>
  <sheetViews>
    <sheetView topLeftCell="A6" workbookViewId="0">
      <selection activeCell="D14" sqref="D14"/>
    </sheetView>
  </sheetViews>
  <sheetFormatPr defaultRowHeight="14.5" x14ac:dyDescent="0.35"/>
  <cols>
    <col min="1" max="1" width="6" customWidth="1"/>
    <col min="2" max="2" width="8" customWidth="1"/>
    <col min="3" max="3" width="34.453125" customWidth="1"/>
    <col min="4" max="4" width="38" customWidth="1"/>
    <col min="5" max="5" width="16" style="13" customWidth="1"/>
    <col min="6" max="6" width="28" customWidth="1"/>
    <col min="7" max="7" width="50" customWidth="1"/>
  </cols>
  <sheetData>
    <row r="1" spans="1:7" ht="25" x14ac:dyDescent="0.7">
      <c r="A1" s="1" t="s">
        <v>266</v>
      </c>
    </row>
    <row r="2" spans="1:7" ht="16.5" x14ac:dyDescent="0.45">
      <c r="A2" s="2"/>
    </row>
    <row r="4" spans="1:7" ht="33.5" thickBot="1" x14ac:dyDescent="0.4">
      <c r="A4" s="3" t="s">
        <v>1</v>
      </c>
      <c r="B4" s="3" t="s">
        <v>35</v>
      </c>
      <c r="C4" s="3" t="s">
        <v>207</v>
      </c>
      <c r="D4" s="3" t="s">
        <v>37</v>
      </c>
      <c r="E4" s="3" t="s">
        <v>208</v>
      </c>
      <c r="F4" s="3" t="s">
        <v>209</v>
      </c>
      <c r="G4" s="3" t="s">
        <v>210</v>
      </c>
    </row>
    <row r="5" spans="1:7" ht="32" x14ac:dyDescent="0.35">
      <c r="A5" s="4">
        <v>1</v>
      </c>
      <c r="B5" s="5" t="s">
        <v>41</v>
      </c>
      <c r="C5" s="6" t="s">
        <v>42</v>
      </c>
      <c r="D5" s="6" t="s">
        <v>43</v>
      </c>
      <c r="E5" s="20">
        <v>30</v>
      </c>
      <c r="F5" s="6" t="s">
        <v>211</v>
      </c>
      <c r="G5" s="6" t="s">
        <v>212</v>
      </c>
    </row>
    <row r="6" spans="1:7" ht="32" x14ac:dyDescent="0.35">
      <c r="A6" s="7">
        <v>2</v>
      </c>
      <c r="B6" s="8" t="s">
        <v>41</v>
      </c>
      <c r="C6" s="9" t="s">
        <v>46</v>
      </c>
      <c r="D6" s="9" t="s">
        <v>47</v>
      </c>
      <c r="E6" s="21">
        <v>23.7</v>
      </c>
      <c r="F6" s="9" t="s">
        <v>213</v>
      </c>
      <c r="G6" s="9" t="s">
        <v>214</v>
      </c>
    </row>
    <row r="7" spans="1:7" ht="32" x14ac:dyDescent="0.35">
      <c r="A7" s="4">
        <v>3</v>
      </c>
      <c r="B7" s="5" t="s">
        <v>41</v>
      </c>
      <c r="C7" s="6" t="s">
        <v>49</v>
      </c>
      <c r="D7" s="6" t="s">
        <v>50</v>
      </c>
      <c r="E7" s="20">
        <v>6</v>
      </c>
      <c r="F7" s="6" t="s">
        <v>215</v>
      </c>
      <c r="G7" s="6" t="s">
        <v>216</v>
      </c>
    </row>
    <row r="8" spans="1:7" ht="32" x14ac:dyDescent="0.35">
      <c r="A8" s="7">
        <v>4</v>
      </c>
      <c r="B8" s="8" t="s">
        <v>41</v>
      </c>
      <c r="C8" s="9" t="s">
        <v>52</v>
      </c>
      <c r="D8" s="9" t="s">
        <v>53</v>
      </c>
      <c r="E8" s="21">
        <v>4</v>
      </c>
      <c r="F8" s="9" t="s">
        <v>215</v>
      </c>
      <c r="G8" s="9" t="s">
        <v>217</v>
      </c>
    </row>
    <row r="9" spans="1:7" ht="48" x14ac:dyDescent="0.35">
      <c r="A9" s="4">
        <v>5</v>
      </c>
      <c r="B9" s="5" t="s">
        <v>41</v>
      </c>
      <c r="C9" s="6" t="s">
        <v>218</v>
      </c>
      <c r="D9" s="6" t="s">
        <v>56</v>
      </c>
      <c r="E9" s="20">
        <v>5</v>
      </c>
      <c r="F9" s="6" t="s">
        <v>55</v>
      </c>
      <c r="G9" s="6" t="s">
        <v>219</v>
      </c>
    </row>
    <row r="10" spans="1:7" ht="32" x14ac:dyDescent="0.35">
      <c r="A10" s="7">
        <v>6</v>
      </c>
      <c r="B10" s="8" t="s">
        <v>41</v>
      </c>
      <c r="C10" s="9" t="s">
        <v>58</v>
      </c>
      <c r="D10" s="9" t="s">
        <v>59</v>
      </c>
      <c r="E10" s="21">
        <v>3</v>
      </c>
      <c r="F10" s="9" t="s">
        <v>215</v>
      </c>
      <c r="G10" s="9" t="s">
        <v>220</v>
      </c>
    </row>
    <row r="11" spans="1:7" ht="32" x14ac:dyDescent="0.35">
      <c r="A11" s="4">
        <v>7</v>
      </c>
      <c r="B11" s="5" t="s">
        <v>41</v>
      </c>
      <c r="C11" s="6" t="s">
        <v>65</v>
      </c>
      <c r="D11" s="6" t="s">
        <v>66</v>
      </c>
      <c r="E11" s="20">
        <v>12</v>
      </c>
      <c r="F11" s="6" t="s">
        <v>215</v>
      </c>
      <c r="G11" s="6" t="s">
        <v>221</v>
      </c>
    </row>
    <row r="12" spans="1:7" ht="80" x14ac:dyDescent="0.35">
      <c r="A12" s="7">
        <v>8</v>
      </c>
      <c r="B12" s="8" t="s">
        <v>69</v>
      </c>
      <c r="C12" s="9" t="s">
        <v>222</v>
      </c>
      <c r="D12" s="9" t="s">
        <v>223</v>
      </c>
      <c r="E12" s="21">
        <v>3</v>
      </c>
      <c r="F12" s="9" t="s">
        <v>224</v>
      </c>
      <c r="G12" s="9" t="s">
        <v>225</v>
      </c>
    </row>
    <row r="13" spans="1:7" ht="64" x14ac:dyDescent="0.35">
      <c r="A13" s="4">
        <v>9</v>
      </c>
      <c r="B13" s="5" t="s">
        <v>69</v>
      </c>
      <c r="C13" s="6" t="s">
        <v>226</v>
      </c>
      <c r="D13" s="6" t="s">
        <v>227</v>
      </c>
      <c r="E13" s="20">
        <v>0.8</v>
      </c>
      <c r="F13" s="6" t="s">
        <v>228</v>
      </c>
      <c r="G13" s="6" t="s">
        <v>229</v>
      </c>
    </row>
    <row r="14" spans="1:7" ht="64" x14ac:dyDescent="0.35">
      <c r="A14" s="7">
        <v>10</v>
      </c>
      <c r="B14" s="8" t="s">
        <v>69</v>
      </c>
      <c r="C14" s="9" t="s">
        <v>230</v>
      </c>
      <c r="D14" s="9" t="s">
        <v>231</v>
      </c>
      <c r="E14" s="21">
        <v>2.5</v>
      </c>
      <c r="F14" s="9" t="s">
        <v>232</v>
      </c>
      <c r="G14" s="9" t="s">
        <v>233</v>
      </c>
    </row>
    <row r="15" spans="1:7" ht="64" x14ac:dyDescent="0.35">
      <c r="A15" s="4">
        <v>11</v>
      </c>
      <c r="B15" s="5" t="s">
        <v>69</v>
      </c>
      <c r="C15" s="6" t="s">
        <v>234</v>
      </c>
      <c r="D15" s="6" t="s">
        <v>235</v>
      </c>
      <c r="E15" s="20">
        <v>1.5</v>
      </c>
      <c r="F15" s="6" t="s">
        <v>236</v>
      </c>
      <c r="G15" s="6" t="s">
        <v>237</v>
      </c>
    </row>
    <row r="16" spans="1:7" ht="48" x14ac:dyDescent="0.35">
      <c r="A16" s="7">
        <v>12</v>
      </c>
      <c r="B16" s="8" t="s">
        <v>69</v>
      </c>
      <c r="C16" s="9" t="s">
        <v>238</v>
      </c>
      <c r="D16" s="9" t="s">
        <v>87</v>
      </c>
      <c r="E16" s="21">
        <v>2</v>
      </c>
      <c r="F16" s="9" t="s">
        <v>239</v>
      </c>
      <c r="G16" s="9" t="s">
        <v>240</v>
      </c>
    </row>
    <row r="17" spans="1:7" ht="48" x14ac:dyDescent="0.35">
      <c r="A17" s="4">
        <v>13</v>
      </c>
      <c r="B17" s="5" t="s">
        <v>90</v>
      </c>
      <c r="C17" s="6" t="s">
        <v>241</v>
      </c>
      <c r="D17" s="6" t="s">
        <v>92</v>
      </c>
      <c r="E17" s="20">
        <v>1.5</v>
      </c>
      <c r="F17" s="6" t="s">
        <v>242</v>
      </c>
      <c r="G17" s="6" t="s">
        <v>243</v>
      </c>
    </row>
    <row r="18" spans="1:7" ht="32" x14ac:dyDescent="0.35">
      <c r="A18" s="7">
        <v>14</v>
      </c>
      <c r="B18" s="8" t="s">
        <v>90</v>
      </c>
      <c r="C18" s="9" t="s">
        <v>94</v>
      </c>
      <c r="D18" s="9" t="s">
        <v>95</v>
      </c>
      <c r="E18" s="21">
        <v>1</v>
      </c>
      <c r="F18" s="9" t="s">
        <v>215</v>
      </c>
      <c r="G18" s="9" t="s">
        <v>244</v>
      </c>
    </row>
    <row r="19" spans="1:7" ht="32" x14ac:dyDescent="0.35">
      <c r="A19" s="4">
        <v>15</v>
      </c>
      <c r="B19" s="5" t="s">
        <v>90</v>
      </c>
      <c r="C19" s="6" t="s">
        <v>245</v>
      </c>
      <c r="D19" s="6" t="s">
        <v>99</v>
      </c>
      <c r="E19" s="20">
        <v>0.5</v>
      </c>
      <c r="F19" s="6" t="s">
        <v>98</v>
      </c>
      <c r="G19" s="6" t="s">
        <v>246</v>
      </c>
    </row>
    <row r="20" spans="1:7" ht="32" x14ac:dyDescent="0.35">
      <c r="A20" s="7">
        <v>16</v>
      </c>
      <c r="B20" s="8" t="s">
        <v>90</v>
      </c>
      <c r="C20" s="9" t="s">
        <v>247</v>
      </c>
      <c r="D20" s="9" t="s">
        <v>102</v>
      </c>
      <c r="E20" s="21">
        <v>0.5</v>
      </c>
      <c r="F20" s="9" t="s">
        <v>101</v>
      </c>
      <c r="G20" s="9" t="s">
        <v>248</v>
      </c>
    </row>
    <row r="21" spans="1:7" ht="32" x14ac:dyDescent="0.35">
      <c r="A21" s="4">
        <v>17</v>
      </c>
      <c r="B21" s="5" t="s">
        <v>90</v>
      </c>
      <c r="C21" s="6" t="s">
        <v>249</v>
      </c>
      <c r="D21" s="6" t="s">
        <v>106</v>
      </c>
      <c r="E21" s="20">
        <v>0.3</v>
      </c>
      <c r="F21" s="6" t="s">
        <v>105</v>
      </c>
      <c r="G21" s="6" t="s">
        <v>250</v>
      </c>
    </row>
    <row r="22" spans="1:7" ht="32" x14ac:dyDescent="0.35">
      <c r="A22" s="7">
        <v>18</v>
      </c>
      <c r="B22" s="8" t="s">
        <v>90</v>
      </c>
      <c r="C22" s="9" t="s">
        <v>108</v>
      </c>
      <c r="D22" s="9" t="s">
        <v>251</v>
      </c>
      <c r="E22" s="21">
        <v>0.5</v>
      </c>
      <c r="F22" s="9" t="s">
        <v>215</v>
      </c>
      <c r="G22" s="9" t="s">
        <v>252</v>
      </c>
    </row>
    <row r="23" spans="1:7" ht="32" x14ac:dyDescent="0.35">
      <c r="A23" s="4">
        <v>19</v>
      </c>
      <c r="B23" s="5" t="s">
        <v>90</v>
      </c>
      <c r="C23" s="6" t="s">
        <v>253</v>
      </c>
      <c r="D23" s="6" t="s">
        <v>112</v>
      </c>
      <c r="E23" s="20">
        <v>0.5</v>
      </c>
      <c r="F23" s="6" t="s">
        <v>215</v>
      </c>
      <c r="G23" s="6" t="s">
        <v>254</v>
      </c>
    </row>
    <row r="24" spans="1:7" ht="32" x14ac:dyDescent="0.35">
      <c r="A24" s="7">
        <v>20</v>
      </c>
      <c r="B24" s="8" t="s">
        <v>115</v>
      </c>
      <c r="C24" s="9" t="s">
        <v>116</v>
      </c>
      <c r="D24" s="9" t="s">
        <v>116</v>
      </c>
      <c r="E24" s="21">
        <v>0.7</v>
      </c>
      <c r="F24" s="9" t="s">
        <v>255</v>
      </c>
      <c r="G24" s="9" t="s">
        <v>256</v>
      </c>
    </row>
    <row r="25" spans="1:7" ht="48" x14ac:dyDescent="0.35">
      <c r="A25" s="4">
        <v>21</v>
      </c>
      <c r="B25" s="5" t="s">
        <v>115</v>
      </c>
      <c r="C25" s="6" t="s">
        <v>257</v>
      </c>
      <c r="D25" s="6" t="s">
        <v>258</v>
      </c>
      <c r="E25" s="20">
        <v>0.5</v>
      </c>
      <c r="F25" s="6" t="s">
        <v>259</v>
      </c>
      <c r="G25" s="6" t="s">
        <v>260</v>
      </c>
    </row>
    <row r="26" spans="1:7" ht="32" x14ac:dyDescent="0.35">
      <c r="A26" s="7">
        <v>22</v>
      </c>
      <c r="B26" s="8" t="s">
        <v>115</v>
      </c>
      <c r="C26" s="9" t="s">
        <v>123</v>
      </c>
      <c r="D26" s="9" t="s">
        <v>124</v>
      </c>
      <c r="E26" s="21">
        <v>0.5</v>
      </c>
      <c r="F26" s="9" t="s">
        <v>261</v>
      </c>
      <c r="G26" s="9" t="s">
        <v>262</v>
      </c>
    </row>
    <row r="27" spans="1:7" ht="25" customHeight="1" x14ac:dyDescent="0.35">
      <c r="A27" s="17" t="s">
        <v>263</v>
      </c>
      <c r="B27" s="18"/>
      <c r="C27" s="18"/>
      <c r="D27" s="19"/>
      <c r="E27" s="16">
        <f>SUM(E5:E26)</f>
        <v>100</v>
      </c>
      <c r="F27" s="16" t="s">
        <v>264</v>
      </c>
      <c r="G27" s="16" t="s">
        <v>265</v>
      </c>
    </row>
  </sheetData>
  <mergeCells count="1">
    <mergeCell ref="A27:D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Benchmark - Shizencos</vt:lpstr>
      <vt:lpstr>2. Công Thức Đề Xuất</vt:lpstr>
      <vt:lpstr>3. Đánh Giá Kỹ Thuật</vt:lpstr>
      <vt:lpstr>4. Nguyên Liệu Thay Thế</vt:lpstr>
      <vt:lpstr>5. Phương Án Local Backup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Ngọc Ánh Trương</cp:lastModifiedBy>
  <dcterms:created xsi:type="dcterms:W3CDTF">2026-08-27T13:02:18Z</dcterms:created>
  <dcterms:modified xsi:type="dcterms:W3CDTF">2026-08-27T14:08:34Z</dcterms:modified>
</cp:coreProperties>
</file>