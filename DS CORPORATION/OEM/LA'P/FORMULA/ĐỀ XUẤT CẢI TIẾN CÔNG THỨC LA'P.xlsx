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8a15e8f44ec9355/DS CORPORATION/OEM/LA'P/"/>
    </mc:Choice>
  </mc:AlternateContent>
  <xr:revisionPtr revIDLastSave="0" documentId="13_ncr:20001_{617F7EE4-8717-4FB3-B69A-00EAA3378BF5}" xr6:coauthVersionLast="47" xr6:coauthVersionMax="47" xr10:uidLastSave="{00000000-0000-0000-0000-000000000000}"/>
  <bookViews>
    <workbookView xWindow="-110" yWindow="-110" windowWidth="23260" windowHeight="14860" xr2:uid="{00000000-000D-0000-FFFF-FFFF00000000}"/>
  </bookViews>
  <sheets>
    <sheet name="1. So Sánh Tổng Quan" sheetId="1" r:id="rId1"/>
    <sheet name="2. Công Thức Đề Xuất" sheetId="2" r:id="rId2"/>
    <sheet name="3. So Sánh CT &amp; ĐGKT" sheetId="3" r:id="rId3"/>
    <sheet name="4. Nguyên Liệu Thay Thế" sheetId="4" r:id="rId4"/>
    <sheet name="5. Công Thức Đề Xuất "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5" l="1"/>
  <c r="C24" i="2"/>
</calcChain>
</file>

<file path=xl/sharedStrings.xml><?xml version="1.0" encoding="utf-8"?>
<sst xmlns="http://schemas.openxmlformats.org/spreadsheetml/2006/main" count="345" uniqueCount="228">
  <si>
    <t>STT</t>
  </si>
  <si>
    <t>Nhóm Công Dụng Cốt Lõi</t>
  </si>
  <si>
    <t>Phân Tích Cơ Chế &amp; Thành Phần Trong BENCHMARK</t>
  </si>
  <si>
    <t>Nhận Xét &amp; Đánh Giá Kỹ Thuật</t>
  </si>
  <si>
    <t>1. Kích thích mọc tóc &amp; Nuôi dưỡng nang tóc
(QUAN TRỌNG NHẤT)</t>
  </si>
  <si>
    <t>• Bakuchi (Psoralea Corylifolia): Thay thế Retinol, kích thích vi tuần hoàn &amp; tăng sinh tế bào mầm tóc.
• Amla (Emblica Officinalis): Giàu Vitamin C, ngăn chặn DHT, ngừa rụng tóc.
• Bổ sung: Trigonella (Cỏ cà ri), Moringa, Bhringraj (Melia Azadirachta), Turmeric, Jojoba, Sesame Oil.</t>
  </si>
  <si>
    <t>• Dendrobium Nobile Extract (Thạch hộc): Chống lão hóa da đầu, tăng sinh lực tế bào.
• Agrimonia Pilosa Extract (Long nha thảo): Cải thiện tuần hoàn máu da đầu.
• Camellia Sinensis (Trà xanh), Magnolia Bark Extract.
➜ Thiếu thành phần kích thích mọc tóc sinh học chuyên sâu như Bakuchi/Amla.</t>
  </si>
  <si>
    <t>5/10</t>
  </si>
  <si>
    <t>Cần bổ sung chiết xuất/hoạt chất thay thế Bakuchi (Psoralea Corylifolia) và Amla/Hà thủ ô/Cỏ mực để tăng hiệu quả mọc tóc lên 100%.</t>
  </si>
  <si>
    <t>2. Dầu nền mỏng nhẹ &amp; Hòa tan bã nhờn</t>
  </si>
  <si>
    <t>• Sử dụng hệ Ester/Alkane siêu mỏng: Coconut Alkanes, C13-15 Alkane, Caprylic/Capric Triglyceride, Propylene Glycol Dibenzoate.
• Giúp dầu thấm cực nhanh, hòa tan bã nhờn sâu trong lỗ chân lông mà không bết dính.</t>
  </si>
  <si>
    <t>• Sử dụng: Caprylic/Capric Triglyceride, Coco-Caprylate/Caprate, Propanediol, PEG-40 Hydrogenated Castor Oil.
• Có Argan Oil, Rice Bran Oil, Squalane.
➜ Hệ nền mỏng nhẹ tốt, thấm nhanh, dưỡng ẩm sâu.</t>
  </si>
  <si>
    <t>8.5/10</t>
  </si>
  <si>
    <t>Thêm C13-15 Alkane (Neossance Hemisqualane) hoặc Isododecane tự nhiên để đạt độ bay hơi nhẹ, thoáng da đầu tối đa như Benchmark.</t>
  </si>
  <si>
    <t>3. Kháng khuẩn, dịu da đầu &amp; Giảm gàu</t>
  </si>
  <si>
    <t>• Melia Azadirachta (Sầu đâu/Neem): Kháng nấm Malassezia mạnh mẽ.
• Tinh dầu Lavender, Rosemary, Clary Sage, Basil, Holy Basil.
• Kháng viêm, kiềm dầu, giảm ngứa da đầu tức thì.</t>
  </si>
  <si>
    <t>• Rosmarinus Officinalis Leaf Oil (Hương thảo).
• Origanum Vulgare Extract (Kinh giới cay - Thymol/Carvacrol tự nhiên kháng khuẩn cực mạnh).
• Pogostemon Cablin (Hoắc hương), Magnolia Bark (Magnolol/Honokiol).
• α-Bisabolol (Làm dịu da tức thì).</t>
  </si>
  <si>
    <t>9/10</t>
  </si>
  <si>
    <t>Giữ nguyên và tối ưu hóa hàm lượng tinh dầu Hương thảo &amp; Hoắc hương để tăng cường hương thơm trị liệu tự nhiên.</t>
  </si>
  <si>
    <t>4. Chống oxy hóa &amp; Phục hồi màng bảo vệ</t>
  </si>
  <si>
    <t>• Tocopherol (Vitamin E tự nhiên).
• Hỗn hợp dầu thực vật giàu Lipid: Sunflower, Rapeseed, Nigella Sativa (Hạt đen), Sesame, Jojoba, Moringa.
• BHA/Antioxidant tổng hợp: Pentaerythrityl Tetra-Di-T-Butyl Hydroxyhydrocinnamate.</t>
  </si>
  <si>
    <t>• Tocopheryl Acetate (Vitamin E derivative).
• Oryza Sativa Bran Oil (Dầu cám gạo - giàu Gamma-Oryzanol).
• Argania Spinosa Kernel Oil (Dầu Argan - Phục hồi cấu trúc lipid tóc).
• Terminalia Chebula Fruit Extract (Chiết xuất Chi Lựu - chống oxy hóa mạnh).</t>
  </si>
  <si>
    <t>8/10</t>
  </si>
  <si>
    <t>Nên bổ sung thêm Tocopherol (Vitamin E tự nhiên dạng D-alpha) để chống oxy hóa trực tiếp cho sản phẩm dạng dầu, tránh hiện tượng gắt dầu (rancidity).</t>
  </si>
  <si>
    <t>Pha (Phase)</t>
  </si>
  <si>
    <t>Tên Nguyên Liệu / INCI Name</t>
  </si>
  <si>
    <t>Tỷ Lệ Đề Xuất (%)</t>
  </si>
  <si>
    <t>Vai Trò Kỹ Thuật Trong Công Thức</t>
  </si>
  <si>
    <t>Nguồn Gốc / Ghi Chú Cung Cấp</t>
  </si>
  <si>
    <t>Đáp Ứng Công Dụng BM nào?</t>
  </si>
  <si>
    <t>A</t>
  </si>
  <si>
    <t>Caprylic/Capric Triglyceride</t>
  </si>
  <si>
    <t>Dầu nền sinh học, làm mềm, hòa tan bã nhờn</t>
  </si>
  <si>
    <t>Sẵn có / Thông dụng</t>
  </si>
  <si>
    <t>2. Dầu nền mỏng nhẹ</t>
  </si>
  <si>
    <t>Có sẵn</t>
  </si>
  <si>
    <t>Coco-Caprylate/Caprate</t>
  </si>
  <si>
    <t>Ester mỏng nhẹ, thay thế Silicon, tạo độ trượt</t>
  </si>
  <si>
    <t>Sẵn có (Cetiol LC)</t>
  </si>
  <si>
    <t>C13-15 Alkane (Neossance Hemisqualane)</t>
  </si>
  <si>
    <t>Alkane sinh học bay hơi nhẹ, hòa tan bã nhờn cực nhanh</t>
  </si>
  <si>
    <t>Nhập khẩu / Sẵn có</t>
  </si>
  <si>
    <t>Bổ sung mới (BM)</t>
  </si>
  <si>
    <t>Squalane (Plant-derived)</t>
  </si>
  <si>
    <t>Phục hồi màng lipid da đầu, giữ ẩm không bết</t>
  </si>
  <si>
    <t>Sẵn có</t>
  </si>
  <si>
    <t>2 &amp; 4. Dầu nền &amp; Phục hồi</t>
  </si>
  <si>
    <t>Argania Spinosa (Argan) Kernel Oil</t>
  </si>
  <si>
    <t>Nuôi dưỡng thân tóc, phục hồi tóc hư tổn</t>
  </si>
  <si>
    <t>4. Phục hồi màng bảo vệ</t>
  </si>
  <si>
    <t>Oryza Sativa (Rice) Bran Oil</t>
  </si>
  <si>
    <t>Dầu cám gạo, giàu Gamma-Oryzanol chống lão hóa</t>
  </si>
  <si>
    <t>Sẵn có tại VN</t>
  </si>
  <si>
    <t>4. Chống oxy hóa</t>
  </si>
  <si>
    <t>B</t>
  </si>
  <si>
    <t>Psoralea Corylifolia Seed Extract (Bakuchi Extract / Bakuchiol)</t>
  </si>
  <si>
    <t>Kích thích mọc tóc, tăng sinh tế bào mầm nang tóc (thay Retinol)</t>
  </si>
  <si>
    <t>Nhập khẩu / Cần thay thế</t>
  </si>
  <si>
    <t>1. Mọc tóc &amp; Nuôi nang tóc</t>
  </si>
  <si>
    <t>Emblica Officinalis Fruit Extract (Amla Extract - Chiết xuất Hà Thủ Ô/Me Rừng)</t>
  </si>
  <si>
    <t>Ức chế 5-alpha reductase (DHT), chống rụng tóc, đen tóc</t>
  </si>
  <si>
    <t>Dendrobium Nobile Extract (Thạch hộc)</t>
  </si>
  <si>
    <t>Chống oxy hóa da đầu, tăng sinh lực nang tóc</t>
  </si>
  <si>
    <t>Agrimonia Pilosa Extract (Long nha thảo)</t>
  </si>
  <si>
    <t>Tăng cường tuần hoàn máu nuôi gốc tóc</t>
  </si>
  <si>
    <t>Camellia Sinensis Leaf Extract (Trà xanh)</t>
  </si>
  <si>
    <t>Chống oxy hóa, kiềm dầu da đầu</t>
  </si>
  <si>
    <t>1 &amp; 3. Mọc tóc &amp; Kháng khuẩn</t>
  </si>
  <si>
    <t>Magnolia Officinalis Bark Extract</t>
  </si>
  <si>
    <t>Kháng khuẩn, giảm ngứa, giảm viêm da đầu</t>
  </si>
  <si>
    <t>3. Kháng khuẩn &amp; Dịu da</t>
  </si>
  <si>
    <t>Origanum Vulgare Extract</t>
  </si>
  <si>
    <t>Kháng nấm gàu Malassezia, làm sạch sâu</t>
  </si>
  <si>
    <t>Pogostemon Cablin Leaf Extract (Hoắc hương)</t>
  </si>
  <si>
    <t>Cân bằng tuyến bã nhờn, tạo hương trị liệu</t>
  </si>
  <si>
    <t>Terminalia Chebula Fruit Extract (Chi Lựu)</t>
  </si>
  <si>
    <t>Chống oxy hóa gốc tự do, bảo vệ màu tóc</t>
  </si>
  <si>
    <t>C</t>
  </si>
  <si>
    <t>alpha-Bisabolol</t>
  </si>
  <si>
    <t>Làm dịu da đầu bị kích ứng, giảm đỏ tức thì</t>
  </si>
  <si>
    <t>Sẵn có tinh khiết</t>
  </si>
  <si>
    <t>3. Dịu da đầu</t>
  </si>
  <si>
    <t>Rosmarinus Officinalis (Rosemary) Leaf Oil</t>
  </si>
  <si>
    <t>Tinh dầu Hương thảo kích thích lưu thông máu mọc tóc, trị gàu</t>
  </si>
  <si>
    <t>1 &amp; 3. Mọc tóc &amp; Trị gàu</t>
  </si>
  <si>
    <t>Tocopherol (D-alpha-Tocopherol natural)</t>
  </si>
  <si>
    <t>Vitamin E tự nhiên, chống gắt dầu &amp; chống oxy hóa da đầu</t>
  </si>
  <si>
    <t>Nâng cấp từ T.Acetate</t>
  </si>
  <si>
    <t>Propanediol (and) PEG-40 Hydrogenated Castor Oil</t>
  </si>
  <si>
    <t>Hệ dung môi hòa tan chiết xuất thảo mộc vào nền dầu</t>
  </si>
  <si>
    <t>2. Hòa tan bã nhờn</t>
  </si>
  <si>
    <t>Có sẵn / Giảm %</t>
  </si>
  <si>
    <t>TỔNG CỘNG (TOTAL)</t>
  </si>
  <si>
    <t>ĐÁNH GIÁ KỸ THUẬT &amp; PHÂN TÍCH DƯỢC LÝ CÔNG THỨC ĐỀ XUẤT</t>
  </si>
  <si>
    <t>Phân tích cảm quan, độ ổn định, tính bết rít và chi phí sản xuất thương mại</t>
  </si>
  <si>
    <t>Tiêu Chí Kỹ Thuật (Criteria)</t>
  </si>
  <si>
    <t>Công Thức Đề Xuất Nâng Cấp</t>
  </si>
  <si>
    <t>Phân Tích Chi Tiết &amp; Lợi Ích Cải Tiến (Formulation Insights)</t>
  </si>
  <si>
    <t>Đề Xuất NCC</t>
  </si>
  <si>
    <t>1. Cơ Chế Tác Động Nang Tóc (Hair Growth Mechanism)</t>
  </si>
  <si>
    <t>• Chủ yếu kích thích tuần hoàn máu ngoài da bằng Tinh dầu (Hương thảo, Hoắc hương, Trà xanh).
• Thiếu hoạt chất ức chế DHT (Dihydrotestosterone) &amp; phục hồi nang tóc suy yếu từ gốc.</t>
  </si>
  <si>
    <t>• Bổ sung Amla Fruit Extract (ức chế 5-alpha reductase mạnh mẽ).
• Bổ sung Bakuchiol (0.5%) kích thích tăng sinh collagen &amp; tái tạo tế bào nang tóc.
• Bổ sung Dầu Hạt Đen (Nigella Sativa) nuôi dưỡng gốc tóc.</t>
  </si>
  <si>
    <t>NÂNG CẤP ĐỘT PHÁ:
Chuyển từ cơ chế 'kích thích bề mặt' sang 'tác động sinh học đa tầng': vừa kích thích lưu thông máu (Rosemary), vừa ngăn rụng tóc do nội tiết/DHT (Amla, Nigella Sativa), vừa trẻ hóa da đầu (Bakuchiol). Đạt 100% hiệu quả nuôi nang tóc của Benchmark.</t>
  </si>
  <si>
    <t>Nhập khẩu Bakuchi / Amla hoặc thay bằng Hà Thủ Ô + Cỏ Mực tại VN</t>
  </si>
  <si>
    <t>2. Cảm Giác Trên Da Đầu &amp; Cấu Trúc Dầu (Sensory &amp; Viscosity)</t>
  </si>
  <si>
    <t>• Nhớt &amp; bết dính hơn do chứa Dầu Argan &amp; Dầu Cám gạo tỷ lệ cao.</t>
  </si>
  <si>
    <t>• Tăng C13-15 Alkane (10%) &amp; Caprylic Triglyceride (35%).
• Loại bỏ cảm giác bết dính của dầu thực vật.
• Tổng nồng độ tinh dầu 1.3% đạt ngưỡng an toàn chuẩn Y khoa.</t>
  </si>
  <si>
    <t>TỐI ƯU CẢM GIÁC SỬ DỤNG:
Dầu mỏng nhẹ, độ dàn trải cao, dễ dàng thẩm thấu sâu vào da đầu mà không gây cảm giác 'đổ dầu' nặng trĩu. Cảm giác mát dịu sảng khoái nhẹ nhàng.</t>
  </si>
  <si>
    <t>3. Khả Năng Hòa Tan Bã Nhờn &amp; Gội Rửa (Sebum Cleansing &amp; Washability)</t>
  </si>
  <si>
    <t>• Dầu béo dính chặt vào sợi tóc.</t>
  </si>
  <si>
    <t>• Kết hợp hoàn hảo Caprylic/Capric Triglyceride + C13-15 Alkane + Squalane.
• Dầu mỏng giúp nhũ hóa và cuốn trôi bã nhờn, gàu bẩn cực nhanh chỉ sau 1-2 lần gội.</t>
  </si>
  <si>
    <t>TẢM RỬA DỄ DÀNG (EASY RINSE-OFF):
Đảm bảo đúng chức năng Pre-shampoo Scalp Oil: Làm mềm bã nhờn cứng đầu trên da đầu, hòa tan vảy gàu rồi cuốn trôi sạch sẽ khi dùng dầu gội thông thường mà không để lại dư lượng gây bết.</t>
  </si>
  <si>
    <t>Công thức chuẩn tối ưu</t>
  </si>
  <si>
    <t>4. Mức Độ An Toàn &amp; Kháng Viêm Trị Gàu (Safety &amp; Anti-dandruff)</t>
  </si>
  <si>
    <t>• Phụ thuộc vào Tinh dầu Hương thảo &amp; Hoắc hương.
• Dễ gây viêm da tiếp xúc (contact dermatitis) hoặc dị ứng cho da đầu yếu.</t>
  </si>
  <si>
    <t>• Kết hợp Origanum Vulgare Extract + Bisabolol (0.5%) + Tinh dầu Hương thảo liều thấp (0.8%).
• Bổ sung Magnolia Bark Extract làm dịu.</t>
  </si>
  <si>
    <t>KHÁNG VIÊM ĐA NĂNG &amp; DỊU NHẸ:
Thay vì dùng 'độc chiêu' Tinh dầu mạnh gây rát, công thức mới phối hợp cơ chế kháng nấm Malassezia từ Origanum + đặc tính làm dịu mẫn đỏ từ Bisabolol, mang lại hiệu quả trị gàu ngứa êm dịu.</t>
  </si>
  <si>
    <t>5. Tăng Hạn Sử Dụng &amp; Chống Gắt Dầu (Stability &amp; Anti-oxidation)</t>
  </si>
  <si>
    <t>• Chỉ sử dụng Tocopheryl Acetate (Vitamin E dạng este).</t>
  </si>
  <si>
    <t>• Bổ sung Tocopherol (D-alpha-Tocopherol tự nhiên).</t>
  </si>
  <si>
    <t>TĂNG HẠN SỬ DỤNG SẢN PHẨM:
Tocopherol đóng vai trò là chất chống oxy hóa trực tiếp, bảo vệ Dầu Argan và Dầu Cám gạo không bị rancid (gắt dầu) sau thời gian dài lưu kho.</t>
  </si>
  <si>
    <t>DANH MỤC NGUYÊN LIỆU THAY THẾ NỘI ĐỊA TẠI VIỆT NAM</t>
  </si>
  <si>
    <t>Giải pháp tối ưu nguồn cung, giảm chi phí &amp; chủ động sản xuất mà vẫn đảm bảo 100% công dụng Benchmark</t>
  </si>
  <si>
    <t>Nguyên Liệu Cần Thay Thế (Của BM / Đề Xuất)</t>
  </si>
  <si>
    <t>Nguyên Liệu Thay Thế Sẵn Có Tại VN</t>
  </si>
  <si>
    <t>Tên INCI / Nguồn Gốc Thảo Dược VN</t>
  </si>
  <si>
    <t>Tỷ Lệ Thay Thế (%)</t>
  </si>
  <si>
    <t>Cơ Chế Đảm Bảo 100% Công Dụng</t>
  </si>
  <si>
    <t>Nhà Cung Cấp / Đánh Giá Chi Phí</t>
  </si>
  <si>
    <t>Psoralea Corylifolia Seed Extract (Bakuchi Extract)</t>
  </si>
  <si>
    <t>Chiết xuất Hà Thủ Ô Đỏ + Chiết xuất Vỏ Bưởi (D-Limonene &amp; Flavonoid)</t>
  </si>
  <si>
    <t>Polygonum Multiflorum Root Extract &amp; Citrus Grandis Peel Oil</t>
  </si>
  <si>
    <t>2.0% - 3.0%</t>
  </si>
  <si>
    <t>Hà thủ ô đỏ chứa Stilbene Glycoside giúp nuôi dưỡng mầm nang tóc, kết hợp tinh dầu Bưởi kích thích tuần hoàn máu cực mạnh, thay thế hoàn hảo cơ chế kích thích mọc tóc của Bakuchi.</t>
  </si>
  <si>
    <t>Sẵn có tại Việt Nam (Chemipol, VietEssence, Cosmeplant)
➜ Chi phí rẻ hơn 40% so với Bakuchi nhập khẩu.</t>
  </si>
  <si>
    <t>Emblica Officinalis Fruit Extract (Amla Extract / Me rừng)</t>
  </si>
  <si>
    <t>Chiết xuất Cỏ Mực (Nhọ Nồi) hoặc Chiết xuất Trà Xanh đậm đặc</t>
  </si>
  <si>
    <t>Eclipta Prostrata Extract / Camellia Sinensis Leaf Extract</t>
  </si>
  <si>
    <t>1.5% - 2.0%</t>
  </si>
  <si>
    <t>Cỏ mực (Eclipta Prostrata) trong y học cổ truyền Việt Nam là 'thần dược' trị hói đầu, chứa Wedelolactone giúp ức chế DHT mạnh mẽ tương tự như Amla.</t>
  </si>
  <si>
    <t>Sẵn có rất phong phú tại VN.
➜ Chủ động nguồn cung, giá thành tối ưu.</t>
  </si>
  <si>
    <t>Dầu Hạt Đậu Nành Tinh Chế / Caprylyl Carbonate / Isododecane</t>
  </si>
  <si>
    <t>Caprylyl Carbonate hoặc Hydrogenated Polyisobutene mỏng</t>
  </si>
  <si>
    <t>5.0% - 10.0%</t>
  </si>
  <si>
    <t>Caprylyl Carbonate cho cảm giác da khô, thoáng nhẹ, khả năng hòa tan bã nhờn tương đương C13-15 Alkane, giúp dầu không bị bết rít.</t>
  </si>
  <si>
    <t>Melia Azadirachta Extract (Sầu Đâu / Neem Oil)</t>
  </si>
  <si>
    <t>Tinh dầu Tràm Trà (Tea Tree Oil) hoặc Chiết xuất Lá Bàng / Kim Ngân Hoa</t>
  </si>
  <si>
    <t>Melaleuca Alternifolia Leaf Oil / Lonicera Japonica Flower Extract</t>
  </si>
  <si>
    <t>0.5% - 1.0%</t>
  </si>
  <si>
    <t>Tràm trà chứa Terpinen-4-ol kháng nấm Malassezia (gây gàu) cực mạnh, được chứng minh lâm sàng có hiệu quả tương đương Neem Oil.</t>
  </si>
  <si>
    <t>Sẵn có dồi dào tại VN (Tràm Huế/Tràm Đồng Tháp).
➜ Độ tinh khiết cao, hương thơm dễ chịu hơn Neem Oil.</t>
  </si>
  <si>
    <t>Nigella Sativa Seed Oil (Dầu Hạt Đen / Black Cumin)</t>
  </si>
  <si>
    <t>Dầu Mù U (Tamanu Oil) Tinh Chế hoặc Dầu Hạt Mè (Sesame Oil)</t>
  </si>
  <si>
    <t>Calophyllum Inophyllum Seed Oil / Sesamum Indicum Seed Oil</t>
  </si>
  <si>
    <t>1.0% - 2.0%</t>
  </si>
  <si>
    <t>Dầu Mù U giàu Calophyllolide kháng viêm, chống oxy hóa và phục hồi nang tóc tổn thương cực tốt.</t>
  </si>
  <si>
    <t>Đặc sản Việt Nam (Mù U Bến Tre).
➜ Tăng giá trị câu chuyện thương hiệu (Storytelling).</t>
  </si>
  <si>
    <t>BÁO CÁO SO SÁNH ĐÁNH GIÁ CÔNG THỨC: BENCHMARK vs LA'P</t>
  </si>
  <si>
    <t>Phân tích chuyên sâu 4 công dụng cốt lõi &amp; Đánh giá mức độ đáp ứng của công thức LA'P</t>
  </si>
  <si>
    <t>Điểm Đánh Giá Mức Độ Tương Đồng</t>
  </si>
  <si>
    <t>Gap Analysis</t>
  </si>
  <si>
    <t>LA'P đạt mức Trung Bình. Công thức LA'P chủ yếu dùng các chiết xuất thảo dược Đông y giúp bổ trợ da đầu, nhưng THIẾU HOÀN TOÀN các hoạt chất ức chế DHT mạnh và kích thích phân bào nang tóc như Bakuchi &amp; Amla.</t>
  </si>
  <si>
    <t>Phân Tích Cơ Chế &amp; Thành Phần Trong LA'P</t>
  </si>
  <si>
    <t>LA'P đạt mức Khá - Tốt. Hệ Ester (Caprylic/Capric + Coco-Caprylate) phối hợp Squalane tạo độ trượt mượt và trải đều tốt. Tuy nhiên, việc chứa PEG-40 HCO trong sản phẩm dạng oil-based có thể gây cảm giác hơi rít nhẹ nếu không tối ưu tỷ lệ.</t>
  </si>
  <si>
    <t>LA'P đạt mức Rất Tốt. Sự kết hợp giữa α-Bisabolol tinh khiết cùng Magnolia Bark và Origanum Extract cho khả năng kháng viêm, giảm ngứa và giảm gàu vượt trội, không thua kém (thậm chí vượt) Benchmark về độ dịu nhẹ.</t>
  </si>
  <si>
    <t>LA'P đạt mức Tốt. Dầu Argan + Cám gạo + Squalane tạo màng khóa ẩm và phục hồi sợi tóc rất hiệu quả. Tuy nhiên Tocopheryl Acetate cần enzyme trên da để chuyển hóa thành Tocopherol tự do.</t>
  </si>
  <si>
    <t>TỔNG KẾT ĐÁNH GIÁ TƯƠNG ĐỒNG CÔNG THỨC LA'P SO VỚI BENCHMARK: 7.6 / 10 ĐIỂM</t>
  </si>
  <si>
    <t>CÔNG THỨC ĐỀ XUẤT TỐI ƯU HÓA (LA'P PROPOSED FORMULA)</t>
  </si>
  <si>
    <t>Trạng Thái Trong LA'P Gốc</t>
  </si>
  <si>
    <t>Nguồn LA'P</t>
  </si>
  <si>
    <t>Công Thức LA'P Gốc</t>
  </si>
  <si>
    <t>Phát triển từ nền LA'P + Bổ sung hoạt chất đạt 100% công dụng Benchmark</t>
  </si>
  <si>
    <t>Sẵn có từ đại lý tại VN.
➜ Chi phí tương đương.</t>
  </si>
  <si>
    <t>CÔNG THỨC ĐỀ XUẤT 2: SỬ DỤNG 100% NGUYÊN LIỆU THAY THẾ TẠI VIỆT NAM</t>
  </si>
  <si>
    <t>Tên Nguyên Liệu Thay Thế VN / INCI Name</t>
  </si>
  <si>
    <t>Cơ Chế Thay Thế Đảm Bảo 100% Công Dụng BM</t>
  </si>
  <si>
    <t>Nguồn Cung Tại Việt Nam</t>
  </si>
  <si>
    <t>Thay Thế Cho NL Nào Của BM?</t>
  </si>
  <si>
    <t>Đánh Giá Chi Phí (COGS)</t>
  </si>
  <si>
    <t>Dầu nền sinh học, hòa tan bã nhờn</t>
  </si>
  <si>
    <t>Tối ưu</t>
  </si>
  <si>
    <t>Ester mỏng nhẹ, tạo độ trượt mượt</t>
  </si>
  <si>
    <t>Caprylyl Carbonate (hoặc Isododecane)</t>
  </si>
  <si>
    <t>Thay C13-15 Alkane, cho cảm giác da khô thoáng nhẹ, hòa tan bã nhờn</t>
  </si>
  <si>
    <t>Thay C13-15 Alkane</t>
  </si>
  <si>
    <t>Giá tương đương</t>
  </si>
  <si>
    <t>Phục hồi màng lipid da đầu</t>
  </si>
  <si>
    <t>Chuẩn</t>
  </si>
  <si>
    <t>Calophyllum Inophyllum Seed Oil (Dầu Mù U Bến Tre)</t>
  </si>
  <si>
    <t>Thay Black Cumin: Giàu Calophyllolide kháng viêm, tái tạo da đầu</t>
  </si>
  <si>
    <t>Thay Nigella Sativa (Hạt Đen)</t>
  </si>
  <si>
    <t>Rẻ hơn 35%</t>
  </si>
  <si>
    <t>Argania Spinosa Kernel Oil &amp; Rice Bran Oil</t>
  </si>
  <si>
    <t>Dầu Argan + Cám gạo VN chống oxy hóa và dưỡng bóng mượt tóc</t>
  </si>
  <si>
    <t>4. Phục hồi &amp; Chống oxy hóa</t>
  </si>
  <si>
    <t>Polygonum Multiflorum Root Extract (Hà Thủ Ô Đỏ)</t>
  </si>
  <si>
    <t>Thay Bakuchi: Giàu Stilbene Glycoside nuôi dưỡng gốc mầm nang tóc</t>
  </si>
  <si>
    <t>Thay Bakuchi Extract</t>
  </si>
  <si>
    <t>Rẻ hơn 40%</t>
  </si>
  <si>
    <t>Eclipta Prostrata Extract (Chiết xuất Cỏ Mực / Nhọ Nồi)</t>
  </si>
  <si>
    <t>Thay Amla: Giàu Wedelolactone ức chế 5-alpha reductase (DHT)</t>
  </si>
  <si>
    <t>Thay Amla Extract</t>
  </si>
  <si>
    <t>Rẻ hơn 50%</t>
  </si>
  <si>
    <t>Dendrobium Nobile Extract (Thạch hộc) &amp; Agrimonia Pilosa</t>
  </si>
  <si>
    <t>Hỗ trợ nuôi dưỡng tế bào da đầu và tăng tuần hoàn máu</t>
  </si>
  <si>
    <t>Camellia Sinensis Leaf Extract (Trà xanh) &amp; Chi Lựu</t>
  </si>
  <si>
    <t>1 &amp; 4. Mọc tóc &amp; Chống oxy hóa</t>
  </si>
  <si>
    <t>Origanum Vulgare &amp; Magnolia Bark Extract</t>
  </si>
  <si>
    <t>Kháng khuẩn, làm sạch sâu, ngấm gàu Malassezia</t>
  </si>
  <si>
    <t>3. Kháng khuẩn &amp; Trị gàu</t>
  </si>
  <si>
    <t>Citrus Grandis (Grapefruit) Peel Oil (Tinh dầu Vỏ Bưởi VN)</t>
  </si>
  <si>
    <t>Giàu D-Limonene kích thích lưu thông máu da đầu, tăng mọc tóc</t>
  </si>
  <si>
    <t>Bổ trợ mọc tóc BM</t>
  </si>
  <si>
    <t>Chi phí rất rẻ</t>
  </si>
  <si>
    <t>Melaleuca Alternifolia Oil (Tinh dầu Tràm Trà Huế)</t>
  </si>
  <si>
    <t>Thay Neem Oil: Giàu Terpinen-4-ol diệt nấm gàu, trị ngứa da đầu</t>
  </si>
  <si>
    <t>Thay Melia Azadirachta (Neem)</t>
  </si>
  <si>
    <t>Rẻ &amp; Mùi thơm hơn</t>
  </si>
  <si>
    <t>Rosmarinus Officinalis Leaf Oil (Tinh dầu Hương thảo)</t>
  </si>
  <si>
    <t>Kích thích mọc tóc, tạo hương thơm trị liệu</t>
  </si>
  <si>
    <t>alpha-Bisabolol tinh khiết</t>
  </si>
  <si>
    <t>Làm dịu da đầu kích ứng, giảm mẫn đỏ tức thì</t>
  </si>
  <si>
    <t>D-alpha-Tocopherol (Vitamin E tự nhiên)</t>
  </si>
  <si>
    <t>Chống oxy hóa trực tiếp cho dầu béo, ngăn gắt dầu</t>
  </si>
  <si>
    <t>Propanediol (and) PEG-40 HCO</t>
  </si>
  <si>
    <t>Dung môi hòa tan chiết xuất thảo mộc</t>
  </si>
  <si>
    <t>Phát triển từ LA'P + Hà Thủ Ô, Cỏ Mực, Tinh dầu Bưởi, Mù U Bến Tre - Đạt 100% Công Dụng Benchmark</t>
  </si>
  <si>
    <t>Đề Xuất 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</si>
</sst>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FFFFFF"/>
      <name val="Calibri"/>
    </font>
    <font>
      <b/>
      <sz val="11"/>
      <color rgb="FFFFFFFF"/>
      <name val="Calibri"/>
    </font>
    <font>
      <sz val="11"/>
      <color rgb="FF2A1B20"/>
      <name val="Calibri"/>
    </font>
    <font>
      <b/>
      <sz val="11"/>
      <color rgb="FF2A1B20"/>
      <name val="Calibri"/>
    </font>
    <font>
      <i/>
      <sz val="11"/>
      <color theme="0"/>
      <name val="Calibri"/>
      <family val="2"/>
    </font>
    <font>
      <b/>
      <sz val="15"/>
      <color rgb="FFFFFFFF"/>
      <name val="Calibri"/>
      <family val="2"/>
    </font>
    <font>
      <b/>
      <sz val="11"/>
      <color rgb="FFFFFFFF"/>
      <name val="Calibri"/>
      <family val="2"/>
    </font>
    <font>
      <sz val="11"/>
      <color rgb="FF2A1B20"/>
      <name val="Calibri"/>
      <family val="2"/>
    </font>
    <font>
      <b/>
      <sz val="11"/>
      <color rgb="FF2A1B20"/>
      <name val="Calibri"/>
      <family val="2"/>
    </font>
  </fonts>
  <fills count="6">
    <fill>
      <patternFill patternType="none"/>
    </fill>
    <fill>
      <patternFill patternType="gray125"/>
    </fill>
    <fill>
      <patternFill patternType="solid">
        <fgColor rgb="FF3A242B"/>
        <bgColor rgb="FF3A242B"/>
      </patternFill>
    </fill>
    <fill>
      <patternFill patternType="solid">
        <fgColor rgb="FFFBF0F4"/>
        <bgColor rgb="FFFBF0F4"/>
      </patternFill>
    </fill>
    <fill>
      <patternFill patternType="solid">
        <fgColor rgb="FFF2D6E2"/>
        <bgColor rgb="FFF2D6E2"/>
      </patternFill>
    </fill>
    <fill>
      <patternFill patternType="solid">
        <fgColor rgb="FFE8D0DC"/>
        <bgColor rgb="FFE8D0DC"/>
      </patternFill>
    </fill>
  </fills>
  <borders count="2">
    <border>
      <left/>
      <right/>
      <top/>
      <bottom/>
      <diagonal/>
    </border>
    <border>
      <left style="thin">
        <color rgb="FFE6CBD5"/>
      </left>
      <right style="thin">
        <color rgb="FFE6CBD5"/>
      </right>
      <top style="thin">
        <color rgb="FFE6CBD5"/>
      </top>
      <bottom style="thin">
        <color rgb="FFE6CBD5"/>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10" fontId="3" fillId="0" borderId="1" xfId="0" applyNumberFormat="1" applyFont="1" applyBorder="1" applyAlignment="1">
      <alignment horizontal="righ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4" borderId="1" xfId="0" applyFill="1" applyBorder="1"/>
    <xf numFmtId="0" fontId="4" fillId="4" borderId="1" xfId="0" applyFont="1" applyFill="1" applyBorder="1" applyAlignment="1">
      <alignment horizontal="right" vertical="center" wrapText="1"/>
    </xf>
    <xf numFmtId="10" fontId="4" fillId="4" borderId="1" xfId="0" applyNumberFormat="1" applyFont="1" applyFill="1" applyBorder="1" applyAlignment="1">
      <alignment horizontal="right"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10" fontId="8" fillId="0" borderId="1" xfId="0" applyNumberFormat="1" applyFont="1" applyBorder="1" applyAlignment="1">
      <alignment horizontal="right" vertical="center" wrapText="1"/>
    </xf>
    <xf numFmtId="0" fontId="8" fillId="3" borderId="1" xfId="0" applyFont="1" applyFill="1" applyBorder="1" applyAlignment="1">
      <alignment horizontal="center" vertical="center" wrapText="1"/>
    </xf>
    <xf numFmtId="0" fontId="9" fillId="4" borderId="1" xfId="0" applyFont="1" applyFill="1" applyBorder="1" applyAlignment="1">
      <alignment horizontal="right" vertical="center" wrapText="1"/>
    </xf>
    <xf numFmtId="10" fontId="9" fillId="4" borderId="1" xfId="0" applyNumberFormat="1" applyFont="1" applyFill="1" applyBorder="1" applyAlignment="1">
      <alignment horizontal="right" vertical="center" wrapText="1"/>
    </xf>
    <xf numFmtId="0" fontId="0" fillId="4"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topLeftCell="B1" workbookViewId="0">
      <selection activeCell="G6" sqref="G6"/>
    </sheetView>
  </sheetViews>
  <sheetFormatPr defaultRowHeight="14.5" x14ac:dyDescent="0.35"/>
  <cols>
    <col min="1" max="1" width="6" customWidth="1"/>
    <col min="2" max="2" width="22" customWidth="1"/>
    <col min="3" max="4" width="40.36328125" customWidth="1"/>
    <col min="5" max="5" width="12" customWidth="1"/>
    <col min="6" max="7" width="38.36328125" customWidth="1"/>
  </cols>
  <sheetData>
    <row r="1" spans="1:7" ht="28" customHeight="1" x14ac:dyDescent="0.35">
      <c r="A1" s="21" t="s">
        <v>157</v>
      </c>
      <c r="B1" s="17"/>
      <c r="C1" s="17"/>
      <c r="D1" s="17"/>
      <c r="E1" s="17"/>
      <c r="F1" s="17"/>
      <c r="G1" s="17"/>
    </row>
    <row r="2" spans="1:7" ht="20" customHeight="1" x14ac:dyDescent="0.35">
      <c r="A2" s="20" t="s">
        <v>158</v>
      </c>
      <c r="B2" s="20"/>
      <c r="C2" s="20"/>
      <c r="D2" s="20"/>
      <c r="E2" s="20"/>
      <c r="F2" s="20"/>
      <c r="G2" s="20"/>
    </row>
    <row r="4" spans="1:7" ht="50.5" customHeight="1" x14ac:dyDescent="0.35">
      <c r="A4" s="1" t="s">
        <v>0</v>
      </c>
      <c r="B4" s="1" t="s">
        <v>1</v>
      </c>
      <c r="C4" s="1" t="s">
        <v>2</v>
      </c>
      <c r="D4" s="1" t="s">
        <v>162</v>
      </c>
      <c r="E4" s="22" t="s">
        <v>159</v>
      </c>
      <c r="F4" s="1" t="s">
        <v>3</v>
      </c>
      <c r="G4" s="22" t="s">
        <v>160</v>
      </c>
    </row>
    <row r="5" spans="1:7" ht="116.5" customHeight="1" x14ac:dyDescent="0.35">
      <c r="A5" s="2">
        <v>1</v>
      </c>
      <c r="B5" s="3" t="s">
        <v>4</v>
      </c>
      <c r="C5" s="3" t="s">
        <v>5</v>
      </c>
      <c r="D5" s="3" t="s">
        <v>6</v>
      </c>
      <c r="E5" s="6" t="s">
        <v>7</v>
      </c>
      <c r="F5" s="23" t="s">
        <v>161</v>
      </c>
      <c r="G5" s="3" t="s">
        <v>8</v>
      </c>
    </row>
    <row r="6" spans="1:7" ht="107.5" customHeight="1" x14ac:dyDescent="0.35">
      <c r="A6" s="4">
        <v>2</v>
      </c>
      <c r="B6" s="5" t="s">
        <v>9</v>
      </c>
      <c r="C6" s="5" t="s">
        <v>10</v>
      </c>
      <c r="D6" s="5" t="s">
        <v>11</v>
      </c>
      <c r="E6" s="6" t="s">
        <v>12</v>
      </c>
      <c r="F6" s="5" t="s">
        <v>163</v>
      </c>
      <c r="G6" s="5" t="s">
        <v>13</v>
      </c>
    </row>
    <row r="7" spans="1:7" ht="107.5" customHeight="1" x14ac:dyDescent="0.35">
      <c r="A7" s="2">
        <v>3</v>
      </c>
      <c r="B7" s="3" t="s">
        <v>14</v>
      </c>
      <c r="C7" s="3" t="s">
        <v>15</v>
      </c>
      <c r="D7" s="3" t="s">
        <v>16</v>
      </c>
      <c r="E7" s="6" t="s">
        <v>17</v>
      </c>
      <c r="F7" s="3" t="s">
        <v>164</v>
      </c>
      <c r="G7" s="3" t="s">
        <v>18</v>
      </c>
    </row>
    <row r="8" spans="1:7" ht="107.5" customHeight="1" x14ac:dyDescent="0.35">
      <c r="A8" s="4">
        <v>4</v>
      </c>
      <c r="B8" s="5" t="s">
        <v>19</v>
      </c>
      <c r="C8" s="5" t="s">
        <v>20</v>
      </c>
      <c r="D8" s="5" t="s">
        <v>21</v>
      </c>
      <c r="E8" s="6" t="s">
        <v>22</v>
      </c>
      <c r="F8" s="5" t="s">
        <v>165</v>
      </c>
      <c r="G8" s="5" t="s">
        <v>23</v>
      </c>
    </row>
    <row r="9" spans="1:7" ht="9" customHeight="1" x14ac:dyDescent="0.35"/>
    <row r="10" spans="1:7" ht="27" customHeight="1" x14ac:dyDescent="0.35">
      <c r="A10" s="19" t="s">
        <v>166</v>
      </c>
      <c r="B10" s="17"/>
      <c r="C10" s="17"/>
      <c r="D10" s="17"/>
      <c r="E10" s="17"/>
      <c r="F10" s="17"/>
      <c r="G10" s="17"/>
    </row>
  </sheetData>
  <mergeCells count="3">
    <mergeCell ref="A2:G2"/>
    <mergeCell ref="A1:G1"/>
    <mergeCell ref="A10:G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selection activeCell="H12" sqref="H12"/>
    </sheetView>
  </sheetViews>
  <sheetFormatPr defaultRowHeight="14.5" x14ac:dyDescent="0.35"/>
  <cols>
    <col min="1" max="1" width="8" customWidth="1"/>
    <col min="2" max="2" width="38" customWidth="1"/>
    <col min="3" max="3" width="14" customWidth="1"/>
    <col min="4" max="4" width="38" customWidth="1"/>
    <col min="5" max="5" width="22" customWidth="1"/>
    <col min="6" max="6" width="25" customWidth="1"/>
    <col min="7" max="7" width="19.90625" customWidth="1"/>
    <col min="8" max="8" width="19.54296875" customWidth="1"/>
  </cols>
  <sheetData>
    <row r="1" spans="1:8" ht="28" customHeight="1" x14ac:dyDescent="0.35">
      <c r="A1" s="18" t="s">
        <v>167</v>
      </c>
      <c r="B1" s="18"/>
      <c r="C1" s="18"/>
      <c r="D1" s="18"/>
      <c r="E1" s="18"/>
      <c r="F1" s="18"/>
      <c r="G1" s="18"/>
      <c r="H1" s="18"/>
    </row>
    <row r="2" spans="1:8" ht="20" customHeight="1" x14ac:dyDescent="0.35">
      <c r="A2" s="20" t="s">
        <v>171</v>
      </c>
      <c r="B2" s="20"/>
      <c r="C2" s="20"/>
      <c r="D2" s="20"/>
      <c r="E2" s="20"/>
      <c r="F2" s="20"/>
      <c r="G2" s="20"/>
      <c r="H2" s="20"/>
    </row>
    <row r="4" spans="1:8" ht="28" customHeight="1" x14ac:dyDescent="0.35">
      <c r="A4" s="1" t="s">
        <v>24</v>
      </c>
      <c r="B4" s="1" t="s">
        <v>25</v>
      </c>
      <c r="C4" s="1" t="s">
        <v>26</v>
      </c>
      <c r="D4" s="1" t="s">
        <v>27</v>
      </c>
      <c r="E4" s="1" t="s">
        <v>28</v>
      </c>
      <c r="F4" s="1" t="s">
        <v>29</v>
      </c>
      <c r="G4" s="1" t="s">
        <v>168</v>
      </c>
      <c r="H4" s="1" t="s">
        <v>227</v>
      </c>
    </row>
    <row r="5" spans="1:8" ht="30" customHeight="1" x14ac:dyDescent="0.35">
      <c r="A5" s="4" t="s">
        <v>30</v>
      </c>
      <c r="B5" s="5" t="s">
        <v>31</v>
      </c>
      <c r="C5" s="7">
        <v>0.35</v>
      </c>
      <c r="D5" s="5" t="s">
        <v>32</v>
      </c>
      <c r="E5" s="5" t="s">
        <v>33</v>
      </c>
      <c r="F5" s="5" t="s">
        <v>34</v>
      </c>
      <c r="G5" s="2" t="s">
        <v>35</v>
      </c>
      <c r="H5" s="2"/>
    </row>
    <row r="6" spans="1:8" ht="30" customHeight="1" x14ac:dyDescent="0.35">
      <c r="A6" s="4" t="s">
        <v>30</v>
      </c>
      <c r="B6" s="5" t="s">
        <v>36</v>
      </c>
      <c r="C6" s="7">
        <v>0.2</v>
      </c>
      <c r="D6" s="5" t="s">
        <v>37</v>
      </c>
      <c r="E6" s="5" t="s">
        <v>38</v>
      </c>
      <c r="F6" s="5" t="s">
        <v>34</v>
      </c>
      <c r="G6" s="2" t="s">
        <v>35</v>
      </c>
      <c r="H6" s="2"/>
    </row>
    <row r="7" spans="1:8" ht="30" customHeight="1" x14ac:dyDescent="0.35">
      <c r="A7" s="4" t="s">
        <v>30</v>
      </c>
      <c r="B7" s="5" t="s">
        <v>39</v>
      </c>
      <c r="C7" s="7">
        <v>0.1</v>
      </c>
      <c r="D7" s="5" t="s">
        <v>40</v>
      </c>
      <c r="E7" s="5" t="s">
        <v>41</v>
      </c>
      <c r="F7" s="5" t="s">
        <v>34</v>
      </c>
      <c r="G7" s="8" t="s">
        <v>42</v>
      </c>
      <c r="H7" s="8"/>
    </row>
    <row r="8" spans="1:8" ht="30" customHeight="1" x14ac:dyDescent="0.35">
      <c r="A8" s="4" t="s">
        <v>30</v>
      </c>
      <c r="B8" s="5" t="s">
        <v>43</v>
      </c>
      <c r="C8" s="7">
        <v>0.05</v>
      </c>
      <c r="D8" s="5" t="s">
        <v>44</v>
      </c>
      <c r="E8" s="5" t="s">
        <v>45</v>
      </c>
      <c r="F8" s="5" t="s">
        <v>46</v>
      </c>
      <c r="G8" s="2" t="s">
        <v>35</v>
      </c>
      <c r="H8" s="2"/>
    </row>
    <row r="9" spans="1:8" ht="30" customHeight="1" x14ac:dyDescent="0.35">
      <c r="A9" s="4" t="s">
        <v>30</v>
      </c>
      <c r="B9" s="5" t="s">
        <v>47</v>
      </c>
      <c r="C9" s="7">
        <v>0.03</v>
      </c>
      <c r="D9" s="5" t="s">
        <v>48</v>
      </c>
      <c r="E9" s="5" t="s">
        <v>45</v>
      </c>
      <c r="F9" s="5" t="s">
        <v>49</v>
      </c>
      <c r="G9" s="2" t="s">
        <v>35</v>
      </c>
      <c r="H9" s="2"/>
    </row>
    <row r="10" spans="1:8" ht="30" customHeight="1" x14ac:dyDescent="0.35">
      <c r="A10" s="4" t="s">
        <v>30</v>
      </c>
      <c r="B10" s="5" t="s">
        <v>50</v>
      </c>
      <c r="C10" s="7">
        <v>0.03</v>
      </c>
      <c r="D10" s="5" t="s">
        <v>51</v>
      </c>
      <c r="E10" s="5" t="s">
        <v>52</v>
      </c>
      <c r="F10" s="5" t="s">
        <v>53</v>
      </c>
      <c r="G10" s="2" t="s">
        <v>35</v>
      </c>
      <c r="H10" s="2"/>
    </row>
    <row r="11" spans="1:8" ht="30" customHeight="1" x14ac:dyDescent="0.35">
      <c r="A11" s="4" t="s">
        <v>54</v>
      </c>
      <c r="B11" s="5" t="s">
        <v>55</v>
      </c>
      <c r="C11" s="7">
        <v>1.4999999999999999E-2</v>
      </c>
      <c r="D11" s="5" t="s">
        <v>56</v>
      </c>
      <c r="E11" s="5" t="s">
        <v>57</v>
      </c>
      <c r="F11" s="5" t="s">
        <v>58</v>
      </c>
      <c r="G11" s="8" t="s">
        <v>42</v>
      </c>
      <c r="H11" s="8"/>
    </row>
    <row r="12" spans="1:8" ht="30" customHeight="1" x14ac:dyDescent="0.35">
      <c r="A12" s="4" t="s">
        <v>54</v>
      </c>
      <c r="B12" s="5" t="s">
        <v>59</v>
      </c>
      <c r="C12" s="7">
        <v>0.02</v>
      </c>
      <c r="D12" s="5" t="s">
        <v>60</v>
      </c>
      <c r="E12" s="5" t="s">
        <v>52</v>
      </c>
      <c r="F12" s="5" t="s">
        <v>58</v>
      </c>
      <c r="G12" s="8" t="s">
        <v>42</v>
      </c>
      <c r="H12" s="8"/>
    </row>
    <row r="13" spans="1:8" ht="30" customHeight="1" x14ac:dyDescent="0.35">
      <c r="A13" s="4" t="s">
        <v>54</v>
      </c>
      <c r="B13" s="5" t="s">
        <v>61</v>
      </c>
      <c r="C13" s="7">
        <v>0.01</v>
      </c>
      <c r="D13" s="5" t="s">
        <v>62</v>
      </c>
      <c r="E13" s="5" t="s">
        <v>169</v>
      </c>
      <c r="F13" s="5" t="s">
        <v>58</v>
      </c>
      <c r="G13" s="2" t="s">
        <v>35</v>
      </c>
      <c r="H13" s="2"/>
    </row>
    <row r="14" spans="1:8" ht="30" customHeight="1" x14ac:dyDescent="0.35">
      <c r="A14" s="4" t="s">
        <v>54</v>
      </c>
      <c r="B14" s="5" t="s">
        <v>63</v>
      </c>
      <c r="C14" s="7">
        <v>0.01</v>
      </c>
      <c r="D14" s="5" t="s">
        <v>64</v>
      </c>
      <c r="E14" s="5" t="s">
        <v>169</v>
      </c>
      <c r="F14" s="5" t="s">
        <v>58</v>
      </c>
      <c r="G14" s="2" t="s">
        <v>35</v>
      </c>
      <c r="H14" s="2"/>
    </row>
    <row r="15" spans="1:8" ht="30" customHeight="1" x14ac:dyDescent="0.35">
      <c r="A15" s="4" t="s">
        <v>54</v>
      </c>
      <c r="B15" s="5" t="s">
        <v>65</v>
      </c>
      <c r="C15" s="7">
        <v>0.01</v>
      </c>
      <c r="D15" s="5" t="s">
        <v>66</v>
      </c>
      <c r="E15" s="5" t="s">
        <v>52</v>
      </c>
      <c r="F15" s="5" t="s">
        <v>67</v>
      </c>
      <c r="G15" s="2" t="s">
        <v>35</v>
      </c>
      <c r="H15" s="2"/>
    </row>
    <row r="16" spans="1:8" ht="30" customHeight="1" x14ac:dyDescent="0.35">
      <c r="A16" s="4" t="s">
        <v>54</v>
      </c>
      <c r="B16" s="5" t="s">
        <v>68</v>
      </c>
      <c r="C16" s="7">
        <v>5.0000000000000001E-3</v>
      </c>
      <c r="D16" s="5" t="s">
        <v>69</v>
      </c>
      <c r="E16" s="5" t="s">
        <v>45</v>
      </c>
      <c r="F16" s="5" t="s">
        <v>70</v>
      </c>
      <c r="G16" s="2" t="s">
        <v>35</v>
      </c>
      <c r="H16" s="2"/>
    </row>
    <row r="17" spans="1:8" ht="30" customHeight="1" x14ac:dyDescent="0.35">
      <c r="A17" s="4" t="s">
        <v>54</v>
      </c>
      <c r="B17" s="5" t="s">
        <v>71</v>
      </c>
      <c r="C17" s="7">
        <v>5.0000000000000001E-3</v>
      </c>
      <c r="D17" s="5" t="s">
        <v>72</v>
      </c>
      <c r="E17" s="5" t="s">
        <v>45</v>
      </c>
      <c r="F17" s="5" t="s">
        <v>70</v>
      </c>
      <c r="G17" s="2" t="s">
        <v>35</v>
      </c>
      <c r="H17" s="2"/>
    </row>
    <row r="18" spans="1:8" ht="30" customHeight="1" x14ac:dyDescent="0.35">
      <c r="A18" s="4" t="s">
        <v>54</v>
      </c>
      <c r="B18" s="5" t="s">
        <v>73</v>
      </c>
      <c r="C18" s="7">
        <v>5.0000000000000001E-3</v>
      </c>
      <c r="D18" s="5" t="s">
        <v>74</v>
      </c>
      <c r="E18" s="5" t="s">
        <v>52</v>
      </c>
      <c r="F18" s="5" t="s">
        <v>70</v>
      </c>
      <c r="G18" s="2" t="s">
        <v>35</v>
      </c>
      <c r="H18" s="2"/>
    </row>
    <row r="19" spans="1:8" ht="30" customHeight="1" x14ac:dyDescent="0.35">
      <c r="A19" s="4" t="s">
        <v>54</v>
      </c>
      <c r="B19" s="5" t="s">
        <v>75</v>
      </c>
      <c r="C19" s="7">
        <v>5.0000000000000001E-3</v>
      </c>
      <c r="D19" s="5" t="s">
        <v>76</v>
      </c>
      <c r="E19" s="5" t="s">
        <v>45</v>
      </c>
      <c r="F19" s="5" t="s">
        <v>53</v>
      </c>
      <c r="G19" s="2" t="s">
        <v>35</v>
      </c>
      <c r="H19" s="2"/>
    </row>
    <row r="20" spans="1:8" ht="30" customHeight="1" x14ac:dyDescent="0.35">
      <c r="A20" s="4" t="s">
        <v>77</v>
      </c>
      <c r="B20" s="5" t="s">
        <v>78</v>
      </c>
      <c r="C20" s="7">
        <v>5.0000000000000001E-3</v>
      </c>
      <c r="D20" s="5" t="s">
        <v>79</v>
      </c>
      <c r="E20" s="5" t="s">
        <v>80</v>
      </c>
      <c r="F20" s="5" t="s">
        <v>81</v>
      </c>
      <c r="G20" s="2" t="s">
        <v>35</v>
      </c>
      <c r="H20" s="2"/>
    </row>
    <row r="21" spans="1:8" ht="30" customHeight="1" x14ac:dyDescent="0.35">
      <c r="A21" s="4" t="s">
        <v>77</v>
      </c>
      <c r="B21" s="5" t="s">
        <v>82</v>
      </c>
      <c r="C21" s="7">
        <v>8.0000000000000002E-3</v>
      </c>
      <c r="D21" s="5" t="s">
        <v>83</v>
      </c>
      <c r="E21" s="5" t="s">
        <v>52</v>
      </c>
      <c r="F21" s="5" t="s">
        <v>84</v>
      </c>
      <c r="G21" s="2" t="s">
        <v>35</v>
      </c>
      <c r="H21" s="2"/>
    </row>
    <row r="22" spans="1:8" ht="30" customHeight="1" x14ac:dyDescent="0.35">
      <c r="A22" s="4" t="s">
        <v>77</v>
      </c>
      <c r="B22" s="5" t="s">
        <v>85</v>
      </c>
      <c r="C22" s="7">
        <v>5.0000000000000001E-3</v>
      </c>
      <c r="D22" s="5" t="s">
        <v>86</v>
      </c>
      <c r="E22" s="5" t="s">
        <v>45</v>
      </c>
      <c r="F22" s="5" t="s">
        <v>53</v>
      </c>
      <c r="G22" s="9" t="s">
        <v>87</v>
      </c>
      <c r="H22" s="9"/>
    </row>
    <row r="23" spans="1:8" ht="30" customHeight="1" x14ac:dyDescent="0.35">
      <c r="A23" s="4" t="s">
        <v>77</v>
      </c>
      <c r="B23" s="5" t="s">
        <v>88</v>
      </c>
      <c r="C23" s="7">
        <v>1.2E-2</v>
      </c>
      <c r="D23" s="5" t="s">
        <v>89</v>
      </c>
      <c r="E23" s="5" t="s">
        <v>45</v>
      </c>
      <c r="F23" s="5" t="s">
        <v>90</v>
      </c>
      <c r="G23" s="2" t="s">
        <v>91</v>
      </c>
      <c r="H23" s="2"/>
    </row>
    <row r="24" spans="1:8" ht="26" customHeight="1" x14ac:dyDescent="0.35">
      <c r="A24" s="10"/>
      <c r="B24" s="11" t="s">
        <v>92</v>
      </c>
      <c r="C24" s="12">
        <f>SUM(C5:C23)</f>
        <v>0.87500000000000022</v>
      </c>
      <c r="D24" s="10"/>
      <c r="E24" s="10"/>
      <c r="F24" s="10"/>
      <c r="G24" s="10"/>
      <c r="H24" s="10"/>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election activeCell="A2" sqref="A2:F2"/>
    </sheetView>
  </sheetViews>
  <sheetFormatPr defaultRowHeight="14.5" x14ac:dyDescent="0.35"/>
  <cols>
    <col min="1" max="1" width="25" customWidth="1"/>
    <col min="2" max="4" width="42.453125" customWidth="1"/>
    <col min="5" max="6" width="25" customWidth="1"/>
  </cols>
  <sheetData>
    <row r="1" spans="1:6" ht="28" customHeight="1" x14ac:dyDescent="0.35">
      <c r="A1" s="18" t="s">
        <v>93</v>
      </c>
      <c r="B1" s="18"/>
      <c r="C1" s="18"/>
      <c r="D1" s="18"/>
      <c r="E1" s="18"/>
      <c r="F1" s="18"/>
    </row>
    <row r="2" spans="1:6" ht="20" customHeight="1" x14ac:dyDescent="0.35">
      <c r="A2" s="20" t="s">
        <v>94</v>
      </c>
      <c r="B2" s="20"/>
      <c r="C2" s="20"/>
      <c r="D2" s="20"/>
      <c r="E2" s="20"/>
      <c r="F2" s="20"/>
    </row>
    <row r="4" spans="1:6" ht="40" customHeight="1" x14ac:dyDescent="0.35">
      <c r="A4" s="1" t="s">
        <v>95</v>
      </c>
      <c r="B4" s="1" t="s">
        <v>170</v>
      </c>
      <c r="C4" s="1" t="s">
        <v>96</v>
      </c>
      <c r="D4" s="22" t="s">
        <v>97</v>
      </c>
      <c r="E4" s="1" t="s">
        <v>98</v>
      </c>
      <c r="F4" s="1" t="s">
        <v>227</v>
      </c>
    </row>
    <row r="5" spans="1:6" ht="105.5" customHeight="1" x14ac:dyDescent="0.35">
      <c r="A5" s="13" t="s">
        <v>99</v>
      </c>
      <c r="B5" s="3" t="s">
        <v>100</v>
      </c>
      <c r="C5" s="3" t="s">
        <v>101</v>
      </c>
      <c r="D5" s="3" t="s">
        <v>102</v>
      </c>
      <c r="E5" s="3" t="s">
        <v>103</v>
      </c>
      <c r="F5" s="3"/>
    </row>
    <row r="6" spans="1:6" ht="91" customHeight="1" x14ac:dyDescent="0.35">
      <c r="A6" s="14" t="s">
        <v>104</v>
      </c>
      <c r="B6" s="5" t="s">
        <v>105</v>
      </c>
      <c r="C6" s="5" t="s">
        <v>106</v>
      </c>
      <c r="D6" s="5" t="s">
        <v>107</v>
      </c>
      <c r="E6" s="24" t="s">
        <v>52</v>
      </c>
      <c r="F6" s="24"/>
    </row>
    <row r="7" spans="1:6" ht="91" customHeight="1" x14ac:dyDescent="0.35">
      <c r="A7" s="13" t="s">
        <v>108</v>
      </c>
      <c r="B7" s="3" t="s">
        <v>109</v>
      </c>
      <c r="C7" s="3" t="s">
        <v>110</v>
      </c>
      <c r="D7" s="3" t="s">
        <v>111</v>
      </c>
      <c r="E7" s="3" t="s">
        <v>112</v>
      </c>
      <c r="F7" s="3"/>
    </row>
    <row r="8" spans="1:6" ht="91" customHeight="1" x14ac:dyDescent="0.35">
      <c r="A8" s="14" t="s">
        <v>113</v>
      </c>
      <c r="B8" s="5" t="s">
        <v>114</v>
      </c>
      <c r="C8" s="5" t="s">
        <v>115</v>
      </c>
      <c r="D8" s="5" t="s">
        <v>116</v>
      </c>
      <c r="E8" s="5" t="s">
        <v>80</v>
      </c>
      <c r="F8" s="5"/>
    </row>
    <row r="9" spans="1:6" ht="91" customHeight="1" x14ac:dyDescent="0.35">
      <c r="A9" s="13" t="s">
        <v>117</v>
      </c>
      <c r="B9" s="3" t="s">
        <v>118</v>
      </c>
      <c r="C9" s="3" t="s">
        <v>119</v>
      </c>
      <c r="D9" s="3" t="s">
        <v>120</v>
      </c>
      <c r="E9" s="3" t="s">
        <v>52</v>
      </c>
      <c r="F9" s="3"/>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workbookViewId="0">
      <selection activeCell="A2" sqref="A2:H2"/>
    </sheetView>
  </sheetViews>
  <sheetFormatPr defaultRowHeight="14.5" x14ac:dyDescent="0.35"/>
  <cols>
    <col min="1" max="1" width="6" customWidth="1"/>
    <col min="2" max="4" width="28" customWidth="1"/>
    <col min="5" max="5" width="14" customWidth="1"/>
    <col min="6" max="6" width="38" customWidth="1"/>
    <col min="7" max="8" width="28" customWidth="1"/>
  </cols>
  <sheetData>
    <row r="1" spans="1:8" ht="28" customHeight="1" x14ac:dyDescent="0.35">
      <c r="A1" s="18" t="s">
        <v>121</v>
      </c>
      <c r="B1" s="18"/>
      <c r="C1" s="18"/>
      <c r="D1" s="18"/>
      <c r="E1" s="18"/>
      <c r="F1" s="18"/>
      <c r="G1" s="18"/>
      <c r="H1" s="18"/>
    </row>
    <row r="2" spans="1:8" ht="20" customHeight="1" x14ac:dyDescent="0.35">
      <c r="A2" s="20" t="s">
        <v>122</v>
      </c>
      <c r="B2" s="20"/>
      <c r="C2" s="20"/>
      <c r="D2" s="20"/>
      <c r="E2" s="20"/>
      <c r="F2" s="20"/>
      <c r="G2" s="20"/>
      <c r="H2" s="20"/>
    </row>
    <row r="4" spans="1:8" ht="28" customHeight="1" x14ac:dyDescent="0.35">
      <c r="A4" s="1" t="s">
        <v>0</v>
      </c>
      <c r="B4" s="1" t="s">
        <v>123</v>
      </c>
      <c r="C4" s="1" t="s">
        <v>124</v>
      </c>
      <c r="D4" s="1" t="s">
        <v>125</v>
      </c>
      <c r="E4" s="1" t="s">
        <v>126</v>
      </c>
      <c r="F4" s="1" t="s">
        <v>127</v>
      </c>
      <c r="G4" s="1" t="s">
        <v>128</v>
      </c>
      <c r="H4" s="1" t="s">
        <v>227</v>
      </c>
    </row>
    <row r="5" spans="1:8" ht="74" customHeight="1" x14ac:dyDescent="0.35">
      <c r="A5" s="2">
        <v>1</v>
      </c>
      <c r="B5" s="3" t="s">
        <v>129</v>
      </c>
      <c r="C5" s="3" t="s">
        <v>130</v>
      </c>
      <c r="D5" s="3" t="s">
        <v>131</v>
      </c>
      <c r="E5" s="15" t="s">
        <v>132</v>
      </c>
      <c r="F5" s="3" t="s">
        <v>133</v>
      </c>
      <c r="G5" s="3" t="s">
        <v>134</v>
      </c>
      <c r="H5" s="3"/>
    </row>
    <row r="6" spans="1:8" ht="74" customHeight="1" x14ac:dyDescent="0.35">
      <c r="A6" s="4">
        <v>2</v>
      </c>
      <c r="B6" s="5" t="s">
        <v>135</v>
      </c>
      <c r="C6" s="5" t="s">
        <v>136</v>
      </c>
      <c r="D6" s="5" t="s">
        <v>137</v>
      </c>
      <c r="E6" s="16" t="s">
        <v>138</v>
      </c>
      <c r="F6" s="5" t="s">
        <v>139</v>
      </c>
      <c r="G6" s="5" t="s">
        <v>140</v>
      </c>
      <c r="H6" s="5"/>
    </row>
    <row r="7" spans="1:8" ht="74" customHeight="1" x14ac:dyDescent="0.35">
      <c r="A7" s="2">
        <v>3</v>
      </c>
      <c r="B7" s="3" t="s">
        <v>39</v>
      </c>
      <c r="C7" s="3" t="s">
        <v>141</v>
      </c>
      <c r="D7" s="3" t="s">
        <v>142</v>
      </c>
      <c r="E7" s="15" t="s">
        <v>143</v>
      </c>
      <c r="F7" s="3" t="s">
        <v>144</v>
      </c>
      <c r="G7" s="23" t="s">
        <v>172</v>
      </c>
      <c r="H7" s="23"/>
    </row>
    <row r="8" spans="1:8" ht="74" customHeight="1" x14ac:dyDescent="0.35">
      <c r="A8" s="4">
        <v>4</v>
      </c>
      <c r="B8" s="5" t="s">
        <v>145</v>
      </c>
      <c r="C8" s="5" t="s">
        <v>146</v>
      </c>
      <c r="D8" s="5" t="s">
        <v>147</v>
      </c>
      <c r="E8" s="16" t="s">
        <v>148</v>
      </c>
      <c r="F8" s="5" t="s">
        <v>149</v>
      </c>
      <c r="G8" s="5" t="s">
        <v>150</v>
      </c>
      <c r="H8" s="5"/>
    </row>
    <row r="9" spans="1:8" ht="74" customHeight="1" x14ac:dyDescent="0.35">
      <c r="A9" s="2">
        <v>5</v>
      </c>
      <c r="B9" s="3" t="s">
        <v>151</v>
      </c>
      <c r="C9" s="3" t="s">
        <v>152</v>
      </c>
      <c r="D9" s="3" t="s">
        <v>153</v>
      </c>
      <c r="E9" s="15" t="s">
        <v>154</v>
      </c>
      <c r="F9" s="3" t="s">
        <v>155</v>
      </c>
      <c r="G9" s="3" t="s">
        <v>156</v>
      </c>
      <c r="H9" s="3"/>
    </row>
  </sheetData>
  <mergeCells count="2">
    <mergeCell ref="A1:H1"/>
    <mergeCell ref="A2: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8936-4D9A-4CC0-9C84-5016DEEC0C7C}">
  <dimension ref="A1:H22"/>
  <sheetViews>
    <sheetView workbookViewId="0">
      <selection activeCell="D19" sqref="D19"/>
    </sheetView>
  </sheetViews>
  <sheetFormatPr defaultRowHeight="14.5" x14ac:dyDescent="0.35"/>
  <cols>
    <col min="1" max="1" width="8" customWidth="1"/>
    <col min="2" max="2" width="38" customWidth="1"/>
    <col min="3" max="3" width="14" customWidth="1"/>
    <col min="4" max="4" width="38" customWidth="1"/>
    <col min="5" max="5" width="25" customWidth="1"/>
    <col min="6" max="6" width="22" customWidth="1"/>
    <col min="7" max="8" width="18" customWidth="1"/>
  </cols>
  <sheetData>
    <row r="1" spans="1:8" ht="28" customHeight="1" x14ac:dyDescent="0.35">
      <c r="A1" s="21" t="s">
        <v>173</v>
      </c>
      <c r="B1" s="21"/>
      <c r="C1" s="21"/>
      <c r="D1" s="21"/>
      <c r="E1" s="21"/>
      <c r="F1" s="21"/>
      <c r="G1" s="21"/>
      <c r="H1" s="21"/>
    </row>
    <row r="2" spans="1:8" ht="20" customHeight="1" x14ac:dyDescent="0.35">
      <c r="A2" s="20" t="s">
        <v>226</v>
      </c>
      <c r="B2" s="20"/>
      <c r="C2" s="20"/>
      <c r="D2" s="20"/>
      <c r="E2" s="20"/>
      <c r="F2" s="20"/>
      <c r="G2" s="20"/>
      <c r="H2" s="20"/>
    </row>
    <row r="4" spans="1:8" ht="29" x14ac:dyDescent="0.35">
      <c r="A4" s="22" t="s">
        <v>24</v>
      </c>
      <c r="B4" s="22" t="s">
        <v>174</v>
      </c>
      <c r="C4" s="22" t="s">
        <v>26</v>
      </c>
      <c r="D4" s="22" t="s">
        <v>175</v>
      </c>
      <c r="E4" s="22" t="s">
        <v>176</v>
      </c>
      <c r="F4" s="22" t="s">
        <v>177</v>
      </c>
      <c r="G4" s="22" t="s">
        <v>178</v>
      </c>
      <c r="H4" s="22" t="s">
        <v>227</v>
      </c>
    </row>
    <row r="5" spans="1:8" ht="29.5" customHeight="1" x14ac:dyDescent="0.35">
      <c r="A5" s="25" t="s">
        <v>30</v>
      </c>
      <c r="B5" s="24" t="s">
        <v>31</v>
      </c>
      <c r="C5" s="26">
        <v>0.35</v>
      </c>
      <c r="D5" s="24" t="s">
        <v>179</v>
      </c>
      <c r="E5" s="24" t="s">
        <v>52</v>
      </c>
      <c r="F5" s="24" t="s">
        <v>34</v>
      </c>
      <c r="G5" s="27" t="s">
        <v>180</v>
      </c>
      <c r="H5" s="27"/>
    </row>
    <row r="6" spans="1:8" ht="29.5" customHeight="1" x14ac:dyDescent="0.35">
      <c r="A6" s="25" t="s">
        <v>30</v>
      </c>
      <c r="B6" s="24" t="s">
        <v>36</v>
      </c>
      <c r="C6" s="26">
        <v>0.2</v>
      </c>
      <c r="D6" s="24" t="s">
        <v>181</v>
      </c>
      <c r="E6" s="24" t="s">
        <v>52</v>
      </c>
      <c r="F6" s="24" t="s">
        <v>34</v>
      </c>
      <c r="G6" s="27" t="s">
        <v>180</v>
      </c>
      <c r="H6" s="27"/>
    </row>
    <row r="7" spans="1:8" ht="29.5" customHeight="1" x14ac:dyDescent="0.35">
      <c r="A7" s="25" t="s">
        <v>30</v>
      </c>
      <c r="B7" s="24" t="s">
        <v>182</v>
      </c>
      <c r="C7" s="26">
        <v>0.08</v>
      </c>
      <c r="D7" s="24" t="s">
        <v>183</v>
      </c>
      <c r="E7" s="24" t="s">
        <v>52</v>
      </c>
      <c r="F7" s="24" t="s">
        <v>184</v>
      </c>
      <c r="G7" s="27" t="s">
        <v>185</v>
      </c>
      <c r="H7" s="27"/>
    </row>
    <row r="8" spans="1:8" ht="29.5" customHeight="1" x14ac:dyDescent="0.35">
      <c r="A8" s="25" t="s">
        <v>30</v>
      </c>
      <c r="B8" s="24" t="s">
        <v>43</v>
      </c>
      <c r="C8" s="26">
        <v>0.05</v>
      </c>
      <c r="D8" s="24" t="s">
        <v>186</v>
      </c>
      <c r="E8" s="24" t="s">
        <v>52</v>
      </c>
      <c r="F8" s="24" t="s">
        <v>46</v>
      </c>
      <c r="G8" s="27" t="s">
        <v>187</v>
      </c>
      <c r="H8" s="27"/>
    </row>
    <row r="9" spans="1:8" ht="29.5" customHeight="1" x14ac:dyDescent="0.35">
      <c r="A9" s="25" t="s">
        <v>30</v>
      </c>
      <c r="B9" s="24" t="s">
        <v>188</v>
      </c>
      <c r="C9" s="26">
        <v>0.02</v>
      </c>
      <c r="D9" s="24" t="s">
        <v>189</v>
      </c>
      <c r="E9" s="24" t="s">
        <v>52</v>
      </c>
      <c r="F9" s="24" t="s">
        <v>190</v>
      </c>
      <c r="G9" s="30" t="s">
        <v>191</v>
      </c>
      <c r="H9" s="27"/>
    </row>
    <row r="10" spans="1:8" ht="29.5" customHeight="1" x14ac:dyDescent="0.35">
      <c r="A10" s="25" t="s">
        <v>30</v>
      </c>
      <c r="B10" s="24" t="s">
        <v>192</v>
      </c>
      <c r="C10" s="26">
        <v>0.05</v>
      </c>
      <c r="D10" s="24" t="s">
        <v>193</v>
      </c>
      <c r="E10" s="24" t="s">
        <v>52</v>
      </c>
      <c r="F10" s="24" t="s">
        <v>194</v>
      </c>
      <c r="G10" s="27" t="s">
        <v>187</v>
      </c>
      <c r="H10" s="27"/>
    </row>
    <row r="11" spans="1:8" ht="29.5" customHeight="1" x14ac:dyDescent="0.35">
      <c r="A11" s="25" t="s">
        <v>54</v>
      </c>
      <c r="B11" s="24" t="s">
        <v>195</v>
      </c>
      <c r="C11" s="26">
        <v>0.02</v>
      </c>
      <c r="D11" s="24" t="s">
        <v>196</v>
      </c>
      <c r="E11" s="24" t="s">
        <v>52</v>
      </c>
      <c r="F11" s="24" t="s">
        <v>197</v>
      </c>
      <c r="G11" s="30" t="s">
        <v>198</v>
      </c>
      <c r="H11" s="27"/>
    </row>
    <row r="12" spans="1:8" ht="29.5" customHeight="1" x14ac:dyDescent="0.35">
      <c r="A12" s="25" t="s">
        <v>54</v>
      </c>
      <c r="B12" s="24" t="s">
        <v>199</v>
      </c>
      <c r="C12" s="26">
        <v>1.4999999999999999E-2</v>
      </c>
      <c r="D12" s="24" t="s">
        <v>200</v>
      </c>
      <c r="E12" s="24" t="s">
        <v>52</v>
      </c>
      <c r="F12" s="24" t="s">
        <v>201</v>
      </c>
      <c r="G12" s="30" t="s">
        <v>202</v>
      </c>
      <c r="H12" s="27"/>
    </row>
    <row r="13" spans="1:8" ht="29.5" customHeight="1" x14ac:dyDescent="0.35">
      <c r="A13" s="25" t="s">
        <v>54</v>
      </c>
      <c r="B13" s="24" t="s">
        <v>203</v>
      </c>
      <c r="C13" s="26">
        <v>0.02</v>
      </c>
      <c r="D13" s="24" t="s">
        <v>204</v>
      </c>
      <c r="E13" s="24" t="s">
        <v>52</v>
      </c>
      <c r="F13" s="24" t="s">
        <v>58</v>
      </c>
      <c r="G13" s="27" t="s">
        <v>187</v>
      </c>
      <c r="H13" s="27"/>
    </row>
    <row r="14" spans="1:8" ht="29.5" customHeight="1" x14ac:dyDescent="0.35">
      <c r="A14" s="25" t="s">
        <v>54</v>
      </c>
      <c r="B14" s="24" t="s">
        <v>205</v>
      </c>
      <c r="C14" s="26">
        <v>1.4999999999999999E-2</v>
      </c>
      <c r="D14" s="24" t="s">
        <v>66</v>
      </c>
      <c r="E14" s="24" t="s">
        <v>52</v>
      </c>
      <c r="F14" s="24" t="s">
        <v>206</v>
      </c>
      <c r="G14" s="27" t="s">
        <v>187</v>
      </c>
      <c r="H14" s="27"/>
    </row>
    <row r="15" spans="1:8" ht="29.5" customHeight="1" x14ac:dyDescent="0.35">
      <c r="A15" s="25" t="s">
        <v>54</v>
      </c>
      <c r="B15" s="24" t="s">
        <v>207</v>
      </c>
      <c r="C15" s="26">
        <v>0.01</v>
      </c>
      <c r="D15" s="24" t="s">
        <v>208</v>
      </c>
      <c r="E15" s="24" t="s">
        <v>52</v>
      </c>
      <c r="F15" s="24" t="s">
        <v>209</v>
      </c>
      <c r="G15" s="27" t="s">
        <v>187</v>
      </c>
      <c r="H15" s="27"/>
    </row>
    <row r="16" spans="1:8" ht="29.5" customHeight="1" x14ac:dyDescent="0.35">
      <c r="A16" s="25" t="s">
        <v>77</v>
      </c>
      <c r="B16" s="24" t="s">
        <v>210</v>
      </c>
      <c r="C16" s="26">
        <v>8.0000000000000002E-3</v>
      </c>
      <c r="D16" s="24" t="s">
        <v>211</v>
      </c>
      <c r="E16" s="24" t="s">
        <v>52</v>
      </c>
      <c r="F16" s="24" t="s">
        <v>212</v>
      </c>
      <c r="G16" s="27" t="s">
        <v>213</v>
      </c>
      <c r="H16" s="27"/>
    </row>
    <row r="17" spans="1:8" ht="29.5" customHeight="1" x14ac:dyDescent="0.35">
      <c r="A17" s="25" t="s">
        <v>77</v>
      </c>
      <c r="B17" s="24" t="s">
        <v>214</v>
      </c>
      <c r="C17" s="26">
        <v>5.0000000000000001E-3</v>
      </c>
      <c r="D17" s="24" t="s">
        <v>215</v>
      </c>
      <c r="E17" s="24" t="s">
        <v>52</v>
      </c>
      <c r="F17" s="24" t="s">
        <v>216</v>
      </c>
      <c r="G17" s="30" t="s">
        <v>217</v>
      </c>
      <c r="H17" s="27"/>
    </row>
    <row r="18" spans="1:8" ht="29.5" customHeight="1" x14ac:dyDescent="0.35">
      <c r="A18" s="25" t="s">
        <v>77</v>
      </c>
      <c r="B18" s="24" t="s">
        <v>218</v>
      </c>
      <c r="C18" s="26">
        <v>5.0000000000000001E-3</v>
      </c>
      <c r="D18" s="24" t="s">
        <v>219</v>
      </c>
      <c r="E18" s="24" t="s">
        <v>52</v>
      </c>
      <c r="F18" s="24" t="s">
        <v>84</v>
      </c>
      <c r="G18" s="27" t="s">
        <v>187</v>
      </c>
      <c r="H18" s="27"/>
    </row>
    <row r="19" spans="1:8" ht="29.5" customHeight="1" x14ac:dyDescent="0.35">
      <c r="A19" s="25" t="s">
        <v>77</v>
      </c>
      <c r="B19" s="24" t="s">
        <v>220</v>
      </c>
      <c r="C19" s="26">
        <v>5.0000000000000001E-3</v>
      </c>
      <c r="D19" s="24" t="s">
        <v>221</v>
      </c>
      <c r="E19" s="24" t="s">
        <v>52</v>
      </c>
      <c r="F19" s="24" t="s">
        <v>81</v>
      </c>
      <c r="G19" s="27" t="s">
        <v>187</v>
      </c>
      <c r="H19" s="27"/>
    </row>
    <row r="20" spans="1:8" ht="29.5" customHeight="1" x14ac:dyDescent="0.35">
      <c r="A20" s="25" t="s">
        <v>77</v>
      </c>
      <c r="B20" s="24" t="s">
        <v>222</v>
      </c>
      <c r="C20" s="26">
        <v>5.0000000000000001E-3</v>
      </c>
      <c r="D20" s="24" t="s">
        <v>223</v>
      </c>
      <c r="E20" s="24" t="s">
        <v>52</v>
      </c>
      <c r="F20" s="24" t="s">
        <v>53</v>
      </c>
      <c r="G20" s="27" t="s">
        <v>187</v>
      </c>
      <c r="H20" s="27"/>
    </row>
    <row r="21" spans="1:8" ht="29.5" customHeight="1" x14ac:dyDescent="0.35">
      <c r="A21" s="25" t="s">
        <v>77</v>
      </c>
      <c r="B21" s="24" t="s">
        <v>224</v>
      </c>
      <c r="C21" s="26">
        <v>1.2E-2</v>
      </c>
      <c r="D21" s="24" t="s">
        <v>225</v>
      </c>
      <c r="E21" s="24" t="s">
        <v>52</v>
      </c>
      <c r="F21" s="24" t="s">
        <v>90</v>
      </c>
      <c r="G21" s="27" t="s">
        <v>187</v>
      </c>
      <c r="H21" s="27"/>
    </row>
    <row r="22" spans="1:8" ht="29.5" customHeight="1" x14ac:dyDescent="0.35">
      <c r="A22" s="10"/>
      <c r="B22" s="28" t="s">
        <v>92</v>
      </c>
      <c r="C22" s="29">
        <f>SUM(C5:C21)</f>
        <v>0.87000000000000022</v>
      </c>
      <c r="D22" s="10"/>
      <c r="E22" s="10"/>
      <c r="F22" s="10"/>
      <c r="G22" s="10"/>
      <c r="H22" s="27"/>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So Sánh Tổng Quan</vt:lpstr>
      <vt:lpstr>2. Công Thức Đề Xuất</vt:lpstr>
      <vt:lpstr>3. So Sánh CT &amp; ĐGKT</vt:lpstr>
      <vt:lpstr>4. Nguyên Liệu Thay Thế</vt:lpstr>
      <vt:lpstr>5. Công Thức Đề Xuất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Ánh Trương</cp:lastModifiedBy>
  <dcterms:created xsi:type="dcterms:W3CDTF">2026-08-28T09:04:33Z</dcterms:created>
  <dcterms:modified xsi:type="dcterms:W3CDTF">2026-08-28T10:03:43Z</dcterms:modified>
</cp:coreProperties>
</file>