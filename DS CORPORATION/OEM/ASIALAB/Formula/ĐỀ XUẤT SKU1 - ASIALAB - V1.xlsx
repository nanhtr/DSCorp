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8a15e8f44ec9355/DS CORPORATION/OEM/ASIALAB/Formula/"/>
    </mc:Choice>
  </mc:AlternateContent>
  <xr:revisionPtr revIDLastSave="2" documentId="8_{86BB5D71-2F0E-4D1C-8370-C9033EC04948}" xr6:coauthVersionLast="47" xr6:coauthVersionMax="47" xr10:uidLastSave="{73A161C6-5448-4731-9CD2-02F3315ED0AB}"/>
  <bookViews>
    <workbookView xWindow="-110" yWindow="-110" windowWidth="23260" windowHeight="14860" activeTab="1" xr2:uid="{00000000-000D-0000-FFFF-FFFF00000000}"/>
  </bookViews>
  <sheets>
    <sheet name="Gap Analysis" sheetId="1" r:id="rId1"/>
    <sheet name="Công Thức Đề Xuất" sheetId="2" r:id="rId2"/>
    <sheet name="Đối Chiếu Công Thức" sheetId="3" r:id="rId3"/>
    <sheet name="Phương Án Nguyên Liệu V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2" l="1"/>
</calcChain>
</file>

<file path=xl/sharedStrings.xml><?xml version="1.0" encoding="utf-8"?>
<sst xmlns="http://schemas.openxmlformats.org/spreadsheetml/2006/main" count="252" uniqueCount="206">
  <si>
    <t>STT</t>
  </si>
  <si>
    <t>CÔNG DỤNG CỐT LÕI (BENCHMARK)</t>
  </si>
  <si>
    <t>YÊU CẦU KỸ THUẬT &amp; HỆ HOẠT CHẤT TRONG BRIEF DS CORP</t>
  </si>
  <si>
    <t>HIỆN TRẠNG CÔNG THỨC ĐỀ XUẤT ASIALAB (V1)</t>
  </si>
  <si>
    <t>HƯỚNG ĐIỀU CHỈNH KỸ THUẬT BẮT BỘC CHO ASIALAB</t>
  </si>
  <si>
    <t>1</t>
  </si>
  <si>
    <t>Phức hợp 5 hoạt chất/chiết xuất thảo mộc cốt lõi: Nigella Sativa (Hạt đen), Amla (Emblica), Rosemary (Hương thảo), Bakuchi (Bakuchiol), Fenugreek (Cà ri) tác động kháng DHT, tăng tuần hoàn nang tóc.</t>
  </si>
  <si>
    <t>Chỉ có Citrus Maxima (Grapefruit) Peel Oil (Tinh dầu bưởi) và Bisabolol/Farnesol.</t>
  </si>
  <si>
    <t>THIẾU HOÀN TOÀN HỆ HOẠT CHẤT MỌC TÓC CHUYÊN SÂU. Tinh dầu bưởi chỉ hỗ trợ thơm bề mặt và kích thích nhẹ, hoàn toàn không đáp ứng tiêu chí cốt lõi số 1 trong Brief.</t>
  </si>
  <si>
    <t>Bổ sung hệ Hoạt chất sẵn có tại VN (không lo MOQ/Leadtime):
1. Rosemary Leaf Oil (0.8%).
2. Bakuchiol 99% Pure (0.5%).
3. Biotinoyl Tripeptide-1 (tan dầu) / Redensyl Oil / Saw Palmetto Extract (1.0%).</t>
  </si>
  <si>
    <t>2</t>
  </si>
  <si>
    <t>Bảo Vệ Lipid &amp; Sợi Tóc Trước Gội</t>
  </si>
  <si>
    <t>Cung cấp Lipid tự nhiên (Sunflower, Sesame, Moringa, Jojoba) chèn vào các khoảng trống biểu bì Keratin, ngăn ngừa hiện tượng Hygral Fatigue (tóc trương nở và đứt gãy do ngấm nước khi gội).</t>
  </si>
  <si>
    <t>Chứa Simmondsia Chinensis (Jojoba) Seed Oil, Argania Spinosa Kernel Oil, Olea Europaea Fruit Oil và Phức hợp Dầu lên men Pseudozyma Epicola Ferment Extract Filtrate.</t>
  </si>
  <si>
    <t>ĐẠT TỐT (Điểm sáng kỹ thuật của AsiaLab). Phức hợp dầu lên men phân tử nhỏ thấm sâu bảo vệ lipid sợi tóc rất tốt. Cần cân bằng lại độ nặng tổng thể.</t>
  </si>
  <si>
    <t>Giữ nguyên hệ phức hợp Dầu lên men Pseudozyma Epicola... (5.0%) &amp; Argan Oil (3.0%). Tăng cường Dầu Jojoba (5.0%) để cân bằng hàng rào Lipid tự nhiên da đầu.</t>
  </si>
  <si>
    <t>3</t>
  </si>
  <si>
    <t>Hòa Tan Bã Nhờn &amp; Làm Sạch Sâu</t>
  </si>
  <si>
    <t>Sử dụng kết hợp các Ester siêu nhẹ (Coconut Alkanes, Coco-Caprylate/Caprate, C13-15 Alkane) &amp; Dầu Jojoba để hòa tan bã nhờn oxy hóa (Sebum plug) tận sâu lỗ nang tóc.</t>
  </si>
  <si>
    <t>Sử dụng Caprylic/Capric Triglyceride, Coco-Caprylate/Caprate kết hợp Cocos Nucifera (Coconut) Oil và Olea Europaea (Olive) Fruit Oil.</t>
  </si>
  <si>
    <t>Thiếu Ester khô/bay hơi để giải phóng bã nhờn nhanh. Dầu Dừa &amp; Dầu Olive có chỉ số gây bít tắc (Comedogenic Index 2-4) cao, nguy cơ tích tụ làm tắc nghẽn nang tóc.</t>
  </si>
  <si>
    <t>1. Hạ Coconut Oil xuống ≤ 7-8% (đáp ứng Non-comedogenic).
2. Bổ sung Isododecane hoặc C13-15 Alkane (15%) làm dung môi hóa bã nhờn cực nhanh.
3. Giữ Caprylic/Capric Triglyceride (35%).</t>
  </si>
  <si>
    <t>4</t>
  </si>
  <si>
    <t>Khả Năng Rửa Trôi &amp; Cảm Giác Sau Ủ</t>
  </si>
  <si>
    <t>Sản phẩm pre-wash dầu phải có khả năng tự nhũ hóa hoặc rửa trôi hoàn toàn chỉ bằng 1 lần gội nhẹ, không để lại màng nhờn bết, không dính da đầu, không gây mụn.</t>
  </si>
  <si>
    <t>Công thức 100% là Dầu béo &amp; Tinh dầu nguyên chất. HOÀN TOÀN KHÔNG CHỨA CHẤT NHŨ HÓA / EMULSIFIER.</t>
  </si>
  <si>
    <t>RỦI RO KỸ THUẬT NGHIÊM TRỌNG: Khách hàng gội lại bằng nước/dầu gội thường sẽ CỰC KỲ KHÓ SẠCH. Màng Dầu Dừa + Olive bám chặt gây bết dính, sấy không khô và bùng phát mụn da đầu.</t>
  </si>
  <si>
    <t>Định hướng: Tối ưu từ nền AsiaLab + Tập trung Hoạt chất Mọc tóc Chuyên sâu &amp; Chất nhũ hóa rửa trôi sẵn kho VN</t>
  </si>
  <si>
    <t>TÊN NGUYÊN LIỆU (INCI NAME)</t>
  </si>
  <si>
    <t>TÊN THƯƠNG MẠI / DẠNG CUNG CẤP</t>
  </si>
  <si>
    <t>VAI TRÒ / CHỨC NĂNG TRONG CÔNG THỨC</t>
  </si>
  <si>
    <t>TỶ LỆ % W/W</t>
  </si>
  <si>
    <t>CÔNG DỤNG BENCHMARK ĐÁP ỨNG</t>
  </si>
  <si>
    <t>LÝ DO KỸ THUẬT &amp; TÍNH KHẢ THI TẠI VIỆT NAM</t>
  </si>
  <si>
    <t>Caprylic/Capric Triglyceride</t>
  </si>
  <si>
    <t>Myritol 318 / Lexol GT-865</t>
  </si>
  <si>
    <t>Dung môi nền sinh học nhẹ, giảm nhờn</t>
  </si>
  <si>
    <t>Công dụng 2, 3</t>
  </si>
  <si>
    <t>Nền dung môi tiêu chuẩn mỹ phẩm, làm mềm mượt, dễ hòa tan dầu bã nhờn, sẵn kho AsiaLab.</t>
  </si>
  <si>
    <t>Isododecane (hoặc C13-15 Alkane)</t>
  </si>
  <si>
    <t>Permethyl 99A / Neossance Hemisqualane</t>
  </si>
  <si>
    <t>Dung môi bay hơi / Ester khô hòa tan bã nhờn</t>
  </si>
  <si>
    <t>Công dụng 3</t>
  </si>
  <si>
    <t>Tăng tốc độ hòa tan nút bã nhờn cứng (Sebum Plug), tạo cảm giác thoáng nhẹ, sẵn kho VN.</t>
  </si>
  <si>
    <t>Coco-Caprylate/Caprate</t>
  </si>
  <si>
    <t>Cetiol LC</t>
  </si>
  <si>
    <t>Ester silicone-replacement, tạo độ mượt</t>
  </si>
  <si>
    <t>Công dụng 2</t>
  </si>
  <si>
    <t>Thay thế Silicon, trải đều trên sợi tóc giúp giảm ma sát hư tổn khi gội, sẵn kho AsiaLab.</t>
  </si>
  <si>
    <t>Cocos Nucifera (Coconut) Oil</t>
  </si>
  <si>
    <t>Virgin Coconut Oil (VCO)</t>
  </si>
  <si>
    <t>Dầu dưỡng thâm nhập bảo vệ Keratin</t>
  </si>
  <si>
    <t>Hạ từ tỷ lệ cao xuống 7% để tránh gây mụn bít tắc da đầu (Non-comedogenic) &amp; dễ rửa trôi.</t>
  </si>
  <si>
    <t>5</t>
  </si>
  <si>
    <t>Simmondsia Chinensis (Jojoba) Seed Oil</t>
  </si>
  <si>
    <t>Golden Jojoba Oil Organic</t>
  </si>
  <si>
    <t>Dầu cân bằng &amp; hòa tan tuyến bã nhờn</t>
  </si>
  <si>
    <t>Cấu trúc tương đồng bã nhờn người, giúp hòa tan bã nhờn cũ bít tắc nang tóc, sẵn kho AsiaLab.</t>
  </si>
  <si>
    <t>6</t>
  </si>
  <si>
    <t>Pseudozyma Epicola/Argania Spinosa... Ferment Extract</t>
  </si>
  <si>
    <t>Fermentoil Hair / Bio-Ferment Oil Complex</t>
  </si>
  <si>
    <t>Phức hợp Dầu lên men phục hồi lipid</t>
  </si>
  <si>
    <t>Giữ nguyên ưu điểm kỹ thuật của AsiaLab. Dầu lên men phân tử nhỏ thấm sâu phục hồi sợi tóc.</t>
  </si>
  <si>
    <t>7</t>
  </si>
  <si>
    <t>PEG-20 Glyceryl Triisostearate (hoặc Polyglyceryl-4 Oleate)</t>
  </si>
  <si>
    <t>Emanon HE-20 / Nikkol TGI-20</t>
  </si>
  <si>
    <t>Chất nhũ hóa tự rửa trôi tan dầu (Cleansing Oil)</t>
  </si>
  <si>
    <t>Công dụng 4</t>
  </si>
  <si>
    <t>8</t>
  </si>
  <si>
    <t>Argania Spinosa (Argan) Kernel Oil</t>
  </si>
  <si>
    <t>Pure Argan Oil</t>
  </si>
  <si>
    <t>Dầu dưỡng bóng &amp; khép vảy tóc ngọn</t>
  </si>
  <si>
    <t>Giữ nguyên từ công thức AsiaLab. Giúp vảy tóc ngọn mượt mà sau khi gội.</t>
  </si>
  <si>
    <t>9</t>
  </si>
  <si>
    <t>Rosemary (Rosmarinus Officinalis) Leaf Oil</t>
  </si>
  <si>
    <t>Rosemary Essential Oil Grade A</t>
  </si>
  <si>
    <t>Tinh dầu Hương Thảo kích thích mọc tóc</t>
  </si>
  <si>
    <t>Công dụng 1 (Trọng tâm)</t>
  </si>
  <si>
    <t>10</t>
  </si>
  <si>
    <t>Bakuchiol (99% Pure)</t>
  </si>
  <si>
    <t>Sytenol A / Pure Bakuchiol</t>
  </si>
  <si>
    <t>Hoạt chất thay thế Bakuchi thô (Sytheon)</t>
  </si>
  <si>
    <t>11</t>
  </si>
  <si>
    <t>Biotinoyl Tripeptide-1 (Oil-Soluble) / Redensyl Oil</t>
  </si>
  <si>
    <t>Procapil Oil / Redensyl Oil Complex</t>
  </si>
  <si>
    <t>Hoạt chất Peptide mọc tóc chuyên sâu</t>
  </si>
  <si>
    <t>12</t>
  </si>
  <si>
    <t>Citrus Maxima (Grapefruit) Peel Oil (FCF Grade)</t>
  </si>
  <si>
    <t>Grapefruit Oil Furocoumarin-Free</t>
  </si>
  <si>
    <t>Tinh dầu Bưởi loại bỏ FCF (An toàn da)</t>
  </si>
  <si>
    <t>Công dụng 1, 3</t>
  </si>
  <si>
    <t>Giữ lại làm chất trợ hương &amp; kháng khuẩn da đầu, dùng loại FCF để tránh kích ứng ánh nắng.</t>
  </si>
  <si>
    <t>13</t>
  </si>
  <si>
    <t>Bisabolol &amp; Farnesol</t>
  </si>
  <si>
    <t>Alpha-Bisabolol Natural</t>
  </si>
  <si>
    <t>Hoạt chất làm dịu da đầu, chống viêm</t>
  </si>
  <si>
    <t>Giữ nguyên từ công thức AsiaLab. Giảm ngứa da đầu, ngăn ngừa gàu mảng.</t>
  </si>
  <si>
    <t>14</t>
  </si>
  <si>
    <t>Tocopheryl Acetate &amp; Hydroxyacetophenone</t>
  </si>
  <si>
    <t>Vitamin E Acetate / SymSave H</t>
  </si>
  <si>
    <t>Hệ chống oxy hóa &amp; bảo vệ chất lượng dầu</t>
  </si>
  <si>
    <t>Bảo quản</t>
  </si>
  <si>
    <t>Giữ nguyên hệ ổn định của AsiaLab, chống ôi dầu béo trong quá trình lưu kho.</t>
  </si>
  <si>
    <t>15</t>
  </si>
  <si>
    <t>Fragrance (Hương Thảo Mộc Thư Giãn - Herbal Spa)</t>
  </si>
  <si>
    <t>Herbal Lavender &amp; Sage Fragrance</t>
  </si>
  <si>
    <t>Hương liệu cao cấp chuẩn Brief</t>
  </si>
  <si>
    <t>Cảm quan</t>
  </si>
  <si>
    <t>TỔNG CỘNG</t>
  </si>
  <si>
    <t>ĐẠT 100% TIÊU CHÍ BRIEF</t>
  </si>
  <si>
    <t>Hoàn thiện đáp ứng 100% tiêu chí Mọc tóc &amp; 3 công dụng phụ</t>
  </si>
  <si>
    <t>So sánh định lượng &amp; chức năng kỹ thuật giữa 3 phiên bản công thức</t>
  </si>
  <si>
    <t>THÀNH PHẦN (INCI NAME)</t>
  </si>
  <si>
    <t>CÔNG THỨC ASIALAB ĐỀ XUẤT (V1)</t>
  </si>
  <si>
    <t>Rosemary Leaf Oil</t>
  </si>
  <si>
    <t>Có (Extract &amp; Oil)</t>
  </si>
  <si>
    <t>KHÔNG CÓ</t>
  </si>
  <si>
    <t>0.8%</t>
  </si>
  <si>
    <t>BỔ SUNG TRỌNG TÂM: Kích thích vi tuần hoàn nang tóc, chống rụng tóc.</t>
  </si>
  <si>
    <t>Có (Psoralea Extract)</t>
  </si>
  <si>
    <t>0.5%</t>
  </si>
  <si>
    <t>BỔ SUNG TRỌNG TÂM: Anti-aging da đầu, củng cố chân tóc chống teo nang.</t>
  </si>
  <si>
    <t>Biotinoyl Tripeptide-1 (Oil)</t>
  </si>
  <si>
    <t>Có (Phức hợp mọc tóc)</t>
  </si>
  <si>
    <t>1.0%</t>
  </si>
  <si>
    <t>BỔ SUNG TRỌNG TÂM: Hoạt chất Peptide mọc tóc chuyên sâu kích thích nhú bì.</t>
  </si>
  <si>
    <t>Có (Chính)</t>
  </si>
  <si>
    <t>35.0%</t>
  </si>
  <si>
    <t>Giữ làm nền dung môi chính nhẹ dịu, không bít tắc da đầu.</t>
  </si>
  <si>
    <t>Isododecane / C13-15 Alkane</t>
  </si>
  <si>
    <t>Có (C13-15 Alkane &amp; Coconut Alkanes)</t>
  </si>
  <si>
    <t>15.0%</t>
  </si>
  <si>
    <t>BỔ SUNG: Giúp hòa tan nút bã nhờn cứng cực nhanh, khắc phục độ nặng của V1.</t>
  </si>
  <si>
    <t>Coco-caprylate/caprate</t>
  </si>
  <si>
    <t>Có</t>
  </si>
  <si>
    <t>10.0%</t>
  </si>
  <si>
    <t>Giữ nguyên để tạo độ mượt sợi tóc thay thế Silicone.</t>
  </si>
  <si>
    <t>Không có (Dùng Ester dừa)</t>
  </si>
  <si>
    <t>Có (Tỷ lệ cao)</t>
  </si>
  <si>
    <t>7.0%</t>
  </si>
  <si>
    <t>CẮT GIẢM SÂU: Khống chế ≤ 7% tránh bít tắc lỗ nang tóc &amp; gây khó rửa trôi.</t>
  </si>
  <si>
    <t>Simmondsia Chinensis Seed Oil</t>
  </si>
  <si>
    <t>5.0%</t>
  </si>
  <si>
    <t>Giữ nguyên Dầu Jojoba giúp hòa tan bã nhờn sinh học tương thích da đầu.</t>
  </si>
  <si>
    <t>Pseudozyma Epicola Ferment Extract...</t>
  </si>
  <si>
    <t>Không có (Dùng Dầu đơn)</t>
  </si>
  <si>
    <t>Có (Phức hợp)</t>
  </si>
  <si>
    <t>GIỮ NGUYÊN ĐIỂM MẠNH ASIALAB: Giúp thâm sâu phục hồi màng lipid Keratin.</t>
  </si>
  <si>
    <t>PEG-20 Glyceryl Triisostearate</t>
  </si>
  <si>
    <t>Có (Hệ nhũ hóa ẩn)</t>
  </si>
  <si>
    <t>4.0%</t>
  </si>
  <si>
    <t>Argania Spinosa Kernel Oil</t>
  </si>
  <si>
    <t>Không có</t>
  </si>
  <si>
    <t>3.0%</t>
  </si>
  <si>
    <t>Giữ nguyên từ V1 để dưỡng bóng ngọn tóc.</t>
  </si>
  <si>
    <t>Citrus Maxima Peel Oil (FCF)</t>
  </si>
  <si>
    <t>Có (Tinh dầu bưởi)</t>
  </si>
  <si>
    <t>Giữ lại làm chất trợ hương &amp; kháng khuẩn, yêu cầu dùng chuẩn FCF Grade.</t>
  </si>
  <si>
    <t>Giữ nguyên từ V1 giúp làm dịu da đầu, giảm ngứa da đầu nhạy cảm.</t>
  </si>
  <si>
    <t>Tocopheryl Acetate &amp; System</t>
  </si>
  <si>
    <t>Có (Tocopherol)</t>
  </si>
  <si>
    <t>0.7%</t>
  </si>
  <si>
    <t>Giữ nguyên hệ chống oxy hóa bảo quản nền dầu béo ổn định.</t>
  </si>
  <si>
    <t>Fragrance (Herbal Spa)</t>
  </si>
  <si>
    <t>Có (Mùi Thảo Mộc)</t>
  </si>
  <si>
    <t>NGUYÊN LIỆU BENCHMARK GỐC (KHÓ MUA / MOQ LỚN)</t>
  </si>
  <si>
    <t>NGUYÊN LIỆU THAY THẾ TƯƠNG ĐƯƠNG SẴN CÓ TẠI VN</t>
  </si>
  <si>
    <t>TÍNH KHẢ THI (MOQ &amp; LEADTIME)</t>
  </si>
  <si>
    <t>LÝ DO KỸ THUẬT &amp; ƯU ĐIỂM VƯỢT TRỘI</t>
  </si>
  <si>
    <t>Phức hợp 5 Chiết xuất Thảo mộc Ấn Độ:
Amla, Nigella Sativa, Fenugreek...</t>
  </si>
  <si>
    <t>Biotinoyl Tripeptide-1 (Oil-Soluble) / Redensyl Oil / Saw Palmetto Extract in Oil</t>
  </si>
  <si>
    <t>Hoạt chất mọc tóc sinh học chuyên sâu tan dầu, có chứng minh lâm sàng (Clinical Data) rõ ràng, hiệu quả kích thích nang tóc gấp nhiều lần chiết xuất thô.</t>
  </si>
  <si>
    <t>Psoralea Corylifolia Seed Extract (Bakuchi thô)</t>
  </si>
  <si>
    <t>Bakuchiol 99% Pure Liquid (Sytenol A)</t>
  </si>
  <si>
    <t>Dạng lỏng tinh khiết 99% hòa tan hoàn toàn trong hệ dầu, không lắng cặn, không biến màu sản phẩm, chống lão hóa da đầu &amp; củng cố chân tóc vượt trội.</t>
  </si>
  <si>
    <t>Coconut Alkanes / C13-15 Alkane (Dung môi khô)</t>
  </si>
  <si>
    <t>Isododecane / Light Liquid Paraffin (Cosmetic Grade)</t>
  </si>
  <si>
    <t>Dung môi bay hơi nhẹ, khả năng hòa tan bã nhờn cứng (Sebum Plug) cực nhanh, tạo độ thoáng nhẹ tức thì sau khi xoa lên da đầu.</t>
  </si>
  <si>
    <t>Hệ Dầu béo khó rửa trôi</t>
  </si>
  <si>
    <t>PEG-20 Glyceryl Triisostearate (Emanon HE-20 / Nikkol TGI-20)</t>
  </si>
  <si>
    <t>Chất nhũ hóa tan dầu cao cấp dùng trong Dầu tẩy trang (Cleansing Oil). Tự nhũ hóa thành sữa khi gặp nước, giúp xả sạch 100% không bít tắc.</t>
  </si>
  <si>
    <t>Citrus Maxima Peel Oil (Tinh dầu bưởi thô)</t>
  </si>
  <si>
    <t>Grapefruit Essential Oil FCF (Furocoumarin-Free)</t>
  </si>
  <si>
    <t>Tinh dầu Bưởi thiên nhiên đã qua xử lý loại bỏ hoàn toàn Furocoumarin, triệt tiêu nguy cơ kích ứng/bắt nắng da đầu khi ra ngoài trời.</t>
  </si>
  <si>
    <t>Thúc Đẩy Mọc Tóc &amp; Củng Cố Nang Tóc
(QUAN TRỌNG NHẤT)</t>
  </si>
  <si>
    <t>Dự án: Serum Da Đầu Trước Gội | Ưu tiên hàng đầu: Thúc Đẩy Mọc Tóc &amp; Củng Cố Nang Tóc</t>
  </si>
  <si>
    <t>GAP ANALYSIS</t>
  </si>
  <si>
    <t>BẮT BUỘC bổ sung 4.0% - 5.0% Chất nhũ hóa tan trong dầu (PEG-20 Glyceryl Triisostearate hoặc Polyglyceryl-4 Oleate). Giúp biến đổi thành dạng sữa ngay khi gặp nước xả.</t>
  </si>
  <si>
    <t>BẮT BUỘC: Giúp dầu tự chuyển thành dạng sữa khi xả nước, rửa trôi 100% không để lại màng bết.</t>
  </si>
  <si>
    <t>HOẠT CHẤT MỌC TÓC BẮT BUỘC: Kháng DHT, tăng tuần hoàn máu nang tóc. Sẵn kho VN.</t>
  </si>
  <si>
    <t>HOẠT CHẤT MỌC TÓC BẮT BUỘC: Tan dầu, chống teo nang tóc, chống lão hóa da đầu. Sẵn kho VN.</t>
  </si>
  <si>
    <t>HOẠT CHẤT MỌC TÓC BẮT BUỘC: Kích thích nhú bì nang tóc phát triển mạnh, sẵn kho đại lý VN.</t>
  </si>
  <si>
    <t>CÔNG THỨC BENCHMARK GỐC</t>
  </si>
  <si>
    <t>CÔNG THỨC DS ĐỀ XUẤT (V1)</t>
  </si>
  <si>
    <t xml:space="preserve">ĐÁNH GIÁ THAY ĐỔI &amp; TÁC ĐỘNG KỸ THUẬT </t>
  </si>
  <si>
    <t>BỔ SUNG BẮT BUỘC: Tạo khả năng tự nhũ hóa rửa trôi sạch 100% với nước, không bết rít.</t>
  </si>
  <si>
    <t>ĐIỀU CHỈNH: Trả về đúng Profile Mùi Thảo Mộc Thư Giãn theo Brief ban đầu. (TUYỆT ĐỐI KHÔNG SỬ DỤNG HƯƠNG LIỆU TỔNG HỢP)</t>
  </si>
  <si>
    <t xml:space="preserve">KHÔNG CÓ </t>
  </si>
  <si>
    <t xml:space="preserve">TUYỆT ĐỐI KHÔNG SỬ DỤNG PERFUME/FRAGRANCE (HƯƠNG LIỆU TỔNG HỢP) </t>
  </si>
  <si>
    <t xml:space="preserve">
Sẵn kho VN</t>
  </si>
  <si>
    <t>PHÂN TÍCH GAP &amp; ĐÁNH GIÁ CÔNG THỨC MẪU</t>
  </si>
  <si>
    <t>BẢNG CÔNG THỨC ĐỀ XUẤT CẢI TIẾN TỐI ƯU</t>
  </si>
  <si>
    <t>ĐỀ XUẤT NCC</t>
  </si>
  <si>
    <t xml:space="preserve">Phương án hỗ trợ </t>
  </si>
  <si>
    <t>BẢNG ĐỀ XUẤT NGUYÊN LIỆU THAY THẾ SẴN CÓ TẠI VIỆT NAM</t>
  </si>
  <si>
    <t>BẢNG ĐỐI CHIẾU THÀNH PHẦN CÔNG THỨC (BENCHMARK VS ASIALAB VS ĐỀ XUẤT 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</si>
</sst>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5"/>
      <color rgb="FF3A242B"/>
      <name val="Calibri"/>
    </font>
    <font>
      <i/>
      <sz val="11"/>
      <color rgb="FF7D636B"/>
      <name val="Calibri"/>
    </font>
    <font>
      <b/>
      <sz val="11"/>
      <color rgb="FFFFFFFF"/>
      <name val="Calibri"/>
    </font>
    <font>
      <sz val="10"/>
      <name val="Calibri"/>
    </font>
    <font>
      <b/>
      <sz val="10"/>
      <name val="Calibri"/>
    </font>
    <font>
      <i/>
      <sz val="10"/>
      <name val="Calibri"/>
    </font>
  </fonts>
  <fills count="5">
    <fill>
      <patternFill patternType="none"/>
    </fill>
    <fill>
      <patternFill patternType="gray125"/>
    </fill>
    <fill>
      <patternFill patternType="solid">
        <fgColor rgb="FF3A242B"/>
        <bgColor rgb="FF3A242B"/>
      </patternFill>
    </fill>
    <fill>
      <patternFill patternType="solid">
        <fgColor rgb="FFFFF5F9"/>
        <bgColor rgb="FFFFF5F9"/>
      </patternFill>
    </fill>
    <fill>
      <patternFill patternType="solid">
        <fgColor rgb="FFFCE4EC"/>
        <bgColor rgb="FFFCE4EC"/>
      </patternFill>
    </fill>
  </fills>
  <borders count="3">
    <border>
      <left/>
      <right/>
      <top/>
      <bottom/>
      <diagonal/>
    </border>
    <border>
      <left style="thin">
        <color rgb="FFE0D0D5"/>
      </left>
      <right style="thin">
        <color rgb="FFE0D0D5"/>
      </right>
      <top style="medium">
        <color rgb="FF3A242B"/>
      </top>
      <bottom style="medium">
        <color rgb="FF3A242B"/>
      </bottom>
      <diagonal/>
    </border>
    <border>
      <left style="thin">
        <color rgb="FFE0D0D5"/>
      </left>
      <right style="thin">
        <color rgb="FFE0D0D5"/>
      </right>
      <top style="thin">
        <color rgb="FFE0D0D5"/>
      </top>
      <bottom style="thin">
        <color rgb="FFE0D0D5"/>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4" fillId="0" borderId="2" xfId="0" applyFont="1" applyBorder="1" applyAlignment="1">
      <alignment horizontal="left" vertical="center" wrapText="1"/>
    </xf>
    <xf numFmtId="0" fontId="5"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0" fillId="0" borderId="2" xfId="0" applyBorder="1"/>
    <xf numFmtId="0" fontId="5" fillId="0" borderId="2" xfId="0" applyFont="1" applyBorder="1" applyAlignment="1">
      <alignment horizontal="left" vertical="center" wrapText="1"/>
    </xf>
    <xf numFmtId="0" fontId="4" fillId="0" borderId="2" xfId="0" applyFont="1" applyBorder="1" applyAlignment="1">
      <alignment horizontal="center" vertical="center" wrapText="1"/>
    </xf>
    <xf numFmtId="0" fontId="5" fillId="3" borderId="2" xfId="0" applyFont="1" applyFill="1" applyBorder="1" applyAlignment="1">
      <alignment horizontal="left" vertical="center" wrapText="1"/>
    </xf>
    <xf numFmtId="0" fontId="4" fillId="3" borderId="2" xfId="0" applyFont="1" applyFill="1" applyBorder="1" applyAlignment="1">
      <alignment horizontal="center" vertical="center" wrapText="1"/>
    </xf>
    <xf numFmtId="164" fontId="5" fillId="0" borderId="2" xfId="0" applyNumberFormat="1" applyFont="1" applyBorder="1" applyAlignment="1">
      <alignment horizontal="right" vertical="center" wrapText="1"/>
    </xf>
    <xf numFmtId="164" fontId="5" fillId="3" borderId="2" xfId="0" applyNumberFormat="1" applyFont="1" applyFill="1" applyBorder="1" applyAlignment="1">
      <alignment horizontal="right" vertical="center" wrapText="1"/>
    </xf>
    <xf numFmtId="164" fontId="5" fillId="4" borderId="2" xfId="0" applyNumberFormat="1" applyFont="1" applyFill="1" applyBorder="1" applyAlignment="1">
      <alignment horizontal="right" vertical="center" wrapText="1"/>
    </xf>
    <xf numFmtId="0" fontId="6"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workbookViewId="0">
      <selection activeCell="C14" sqref="C14"/>
    </sheetView>
  </sheetViews>
  <sheetFormatPr defaultRowHeight="14.5" x14ac:dyDescent="0.35"/>
  <cols>
    <col min="1" max="1" width="6.54296875" customWidth="1"/>
    <col min="2" max="2" width="29.6328125" customWidth="1"/>
    <col min="3" max="6" width="33.54296875" customWidth="1"/>
    <col min="7" max="7" width="28.54296875" customWidth="1"/>
  </cols>
  <sheetData>
    <row r="1" spans="1:7" ht="19.5" x14ac:dyDescent="0.45">
      <c r="A1" s="1" t="s">
        <v>200</v>
      </c>
    </row>
    <row r="2" spans="1:7" x14ac:dyDescent="0.35">
      <c r="A2" s="2" t="s">
        <v>185</v>
      </c>
    </row>
    <row r="3" spans="1:7" ht="15" thickBot="1" x14ac:dyDescent="0.4"/>
    <row r="4" spans="1:7" ht="28" customHeight="1" thickBot="1" x14ac:dyDescent="0.4">
      <c r="A4" s="3" t="s">
        <v>0</v>
      </c>
      <c r="B4" s="3" t="s">
        <v>1</v>
      </c>
      <c r="C4" s="3" t="s">
        <v>2</v>
      </c>
      <c r="D4" s="3" t="s">
        <v>3</v>
      </c>
      <c r="E4" s="3" t="s">
        <v>186</v>
      </c>
      <c r="F4" s="3" t="s">
        <v>4</v>
      </c>
      <c r="G4" s="3" t="s">
        <v>202</v>
      </c>
    </row>
    <row r="5" spans="1:7" ht="92.5" customHeight="1" x14ac:dyDescent="0.35">
      <c r="A5" s="4" t="s">
        <v>5</v>
      </c>
      <c r="B5" s="4" t="s">
        <v>184</v>
      </c>
      <c r="C5" s="5" t="s">
        <v>6</v>
      </c>
      <c r="D5" s="5" t="s">
        <v>7</v>
      </c>
      <c r="E5" s="5" t="s">
        <v>8</v>
      </c>
      <c r="F5" s="5" t="s">
        <v>9</v>
      </c>
      <c r="G5" s="5"/>
    </row>
    <row r="6" spans="1:7" ht="92.5" customHeight="1" x14ac:dyDescent="0.35">
      <c r="A6" s="6" t="s">
        <v>10</v>
      </c>
      <c r="B6" s="6" t="s">
        <v>11</v>
      </c>
      <c r="C6" s="7" t="s">
        <v>12</v>
      </c>
      <c r="D6" s="7" t="s">
        <v>13</v>
      </c>
      <c r="E6" s="7" t="s">
        <v>14</v>
      </c>
      <c r="F6" s="7" t="s">
        <v>15</v>
      </c>
      <c r="G6" s="7"/>
    </row>
    <row r="7" spans="1:7" ht="92.5" customHeight="1" x14ac:dyDescent="0.35">
      <c r="A7" s="4" t="s">
        <v>16</v>
      </c>
      <c r="B7" s="4" t="s">
        <v>17</v>
      </c>
      <c r="C7" s="5" t="s">
        <v>18</v>
      </c>
      <c r="D7" s="5" t="s">
        <v>19</v>
      </c>
      <c r="E7" s="5" t="s">
        <v>20</v>
      </c>
      <c r="F7" s="5" t="s">
        <v>21</v>
      </c>
      <c r="G7" s="5"/>
    </row>
    <row r="8" spans="1:7" ht="92.5" customHeight="1" x14ac:dyDescent="0.35">
      <c r="A8" s="6" t="s">
        <v>22</v>
      </c>
      <c r="B8" s="6" t="s">
        <v>23</v>
      </c>
      <c r="C8" s="7" t="s">
        <v>24</v>
      </c>
      <c r="D8" s="7" t="s">
        <v>25</v>
      </c>
      <c r="E8" s="7" t="s">
        <v>26</v>
      </c>
      <c r="F8" s="7" t="s">
        <v>187</v>
      </c>
      <c r="G8" s="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tabSelected="1" workbookViewId="0">
      <selection activeCell="B6" sqref="B6"/>
    </sheetView>
  </sheetViews>
  <sheetFormatPr defaultRowHeight="14.5" x14ac:dyDescent="0.35"/>
  <cols>
    <col min="1" max="1" width="6" customWidth="1"/>
    <col min="2" max="2" width="35" customWidth="1"/>
    <col min="3" max="3" width="30" customWidth="1"/>
    <col min="4" max="4" width="32" customWidth="1"/>
    <col min="5" max="5" width="11.90625" customWidth="1"/>
    <col min="6" max="6" width="21.81640625" customWidth="1"/>
    <col min="7" max="7" width="48.36328125" customWidth="1"/>
    <col min="8" max="8" width="17.90625" customWidth="1"/>
  </cols>
  <sheetData>
    <row r="1" spans="1:8" ht="19.5" x14ac:dyDescent="0.45">
      <c r="A1" s="1" t="s">
        <v>201</v>
      </c>
    </row>
    <row r="2" spans="1:8" x14ac:dyDescent="0.35">
      <c r="A2" s="2" t="s">
        <v>27</v>
      </c>
    </row>
    <row r="3" spans="1:8" ht="15" thickBot="1" x14ac:dyDescent="0.4"/>
    <row r="4" spans="1:8" ht="28" customHeight="1" thickBot="1" x14ac:dyDescent="0.4">
      <c r="A4" s="3" t="s">
        <v>0</v>
      </c>
      <c r="B4" s="3" t="s">
        <v>28</v>
      </c>
      <c r="C4" s="3" t="s">
        <v>29</v>
      </c>
      <c r="D4" s="3" t="s">
        <v>30</v>
      </c>
      <c r="E4" s="3" t="s">
        <v>31</v>
      </c>
      <c r="F4" s="3" t="s">
        <v>32</v>
      </c>
      <c r="G4" s="3" t="s">
        <v>33</v>
      </c>
      <c r="H4" s="3" t="s">
        <v>202</v>
      </c>
    </row>
    <row r="5" spans="1:8" ht="31.5" customHeight="1" x14ac:dyDescent="0.35">
      <c r="A5" s="4" t="s">
        <v>5</v>
      </c>
      <c r="B5" s="5" t="s">
        <v>34</v>
      </c>
      <c r="C5" s="5" t="s">
        <v>35</v>
      </c>
      <c r="D5" s="5" t="s">
        <v>36</v>
      </c>
      <c r="E5" s="13">
        <v>0.46</v>
      </c>
      <c r="F5" s="5" t="s">
        <v>37</v>
      </c>
      <c r="G5" s="5" t="s">
        <v>38</v>
      </c>
      <c r="H5" s="5"/>
    </row>
    <row r="6" spans="1:8" ht="31.5" customHeight="1" x14ac:dyDescent="0.35">
      <c r="A6" s="6" t="s">
        <v>10</v>
      </c>
      <c r="B6" s="7" t="s">
        <v>39</v>
      </c>
      <c r="C6" s="7" t="s">
        <v>40</v>
      </c>
      <c r="D6" s="7" t="s">
        <v>41</v>
      </c>
      <c r="E6" s="14">
        <v>0.15</v>
      </c>
      <c r="F6" s="7" t="s">
        <v>42</v>
      </c>
      <c r="G6" s="7" t="s">
        <v>43</v>
      </c>
      <c r="H6" s="7"/>
    </row>
    <row r="7" spans="1:8" ht="31.5" customHeight="1" x14ac:dyDescent="0.35">
      <c r="A7" s="4" t="s">
        <v>16</v>
      </c>
      <c r="B7" s="5" t="s">
        <v>44</v>
      </c>
      <c r="C7" s="5" t="s">
        <v>45</v>
      </c>
      <c r="D7" s="5" t="s">
        <v>46</v>
      </c>
      <c r="E7" s="13">
        <v>0.1</v>
      </c>
      <c r="F7" s="5" t="s">
        <v>47</v>
      </c>
      <c r="G7" s="5" t="s">
        <v>48</v>
      </c>
      <c r="H7" s="5"/>
    </row>
    <row r="8" spans="1:8" ht="31.5" customHeight="1" x14ac:dyDescent="0.35">
      <c r="A8" s="6" t="s">
        <v>22</v>
      </c>
      <c r="B8" s="7" t="s">
        <v>49</v>
      </c>
      <c r="C8" s="7" t="s">
        <v>50</v>
      </c>
      <c r="D8" s="7" t="s">
        <v>51</v>
      </c>
      <c r="E8" s="14">
        <v>7.0000000000000007E-2</v>
      </c>
      <c r="F8" s="7" t="s">
        <v>47</v>
      </c>
      <c r="G8" s="7" t="s">
        <v>52</v>
      </c>
      <c r="H8" s="7"/>
    </row>
    <row r="9" spans="1:8" ht="31.5" customHeight="1" x14ac:dyDescent="0.35">
      <c r="A9" s="4" t="s">
        <v>53</v>
      </c>
      <c r="B9" s="5" t="s">
        <v>54</v>
      </c>
      <c r="C9" s="5" t="s">
        <v>55</v>
      </c>
      <c r="D9" s="5" t="s">
        <v>56</v>
      </c>
      <c r="E9" s="13">
        <v>0.05</v>
      </c>
      <c r="F9" s="5" t="s">
        <v>37</v>
      </c>
      <c r="G9" s="5" t="s">
        <v>57</v>
      </c>
      <c r="H9" s="5"/>
    </row>
    <row r="10" spans="1:8" ht="31.5" customHeight="1" x14ac:dyDescent="0.35">
      <c r="A10" s="6" t="s">
        <v>58</v>
      </c>
      <c r="B10" s="7" t="s">
        <v>59</v>
      </c>
      <c r="C10" s="7" t="s">
        <v>60</v>
      </c>
      <c r="D10" s="7" t="s">
        <v>61</v>
      </c>
      <c r="E10" s="14">
        <v>0.05</v>
      </c>
      <c r="F10" s="7" t="s">
        <v>47</v>
      </c>
      <c r="G10" s="7" t="s">
        <v>62</v>
      </c>
      <c r="H10" s="7"/>
    </row>
    <row r="11" spans="1:8" ht="31.5" customHeight="1" x14ac:dyDescent="0.35">
      <c r="A11" s="4" t="s">
        <v>63</v>
      </c>
      <c r="B11" s="5" t="s">
        <v>64</v>
      </c>
      <c r="C11" s="5" t="s">
        <v>65</v>
      </c>
      <c r="D11" s="5" t="s">
        <v>66</v>
      </c>
      <c r="E11" s="13">
        <v>0.04</v>
      </c>
      <c r="F11" s="5" t="s">
        <v>67</v>
      </c>
      <c r="G11" s="5" t="s">
        <v>188</v>
      </c>
      <c r="H11" s="5"/>
    </row>
    <row r="12" spans="1:8" ht="31.5" customHeight="1" x14ac:dyDescent="0.35">
      <c r="A12" s="6" t="s">
        <v>68</v>
      </c>
      <c r="B12" s="7" t="s">
        <v>69</v>
      </c>
      <c r="C12" s="7" t="s">
        <v>70</v>
      </c>
      <c r="D12" s="7" t="s">
        <v>71</v>
      </c>
      <c r="E12" s="14">
        <v>0.03</v>
      </c>
      <c r="F12" s="7" t="s">
        <v>47</v>
      </c>
      <c r="G12" s="7" t="s">
        <v>72</v>
      </c>
      <c r="H12" s="7"/>
    </row>
    <row r="13" spans="1:8" ht="31.5" customHeight="1" x14ac:dyDescent="0.35">
      <c r="A13" s="4" t="s">
        <v>73</v>
      </c>
      <c r="B13" s="5" t="s">
        <v>74</v>
      </c>
      <c r="C13" s="5" t="s">
        <v>75</v>
      </c>
      <c r="D13" s="5" t="s">
        <v>76</v>
      </c>
      <c r="E13" s="13">
        <v>8.0000000000000002E-3</v>
      </c>
      <c r="F13" s="5" t="s">
        <v>77</v>
      </c>
      <c r="G13" s="5" t="s">
        <v>189</v>
      </c>
      <c r="H13" s="5"/>
    </row>
    <row r="14" spans="1:8" ht="31.5" customHeight="1" x14ac:dyDescent="0.35">
      <c r="A14" s="6" t="s">
        <v>78</v>
      </c>
      <c r="B14" s="7" t="s">
        <v>79</v>
      </c>
      <c r="C14" s="7" t="s">
        <v>80</v>
      </c>
      <c r="D14" s="7" t="s">
        <v>81</v>
      </c>
      <c r="E14" s="14">
        <v>5.0000000000000001E-3</v>
      </c>
      <c r="F14" s="7" t="s">
        <v>77</v>
      </c>
      <c r="G14" s="7" t="s">
        <v>190</v>
      </c>
      <c r="H14" s="7"/>
    </row>
    <row r="15" spans="1:8" ht="31.5" customHeight="1" x14ac:dyDescent="0.35">
      <c r="A15" s="4" t="s">
        <v>82</v>
      </c>
      <c r="B15" s="5" t="s">
        <v>83</v>
      </c>
      <c r="C15" s="5" t="s">
        <v>84</v>
      </c>
      <c r="D15" s="5" t="s">
        <v>85</v>
      </c>
      <c r="E15" s="13">
        <v>0.01</v>
      </c>
      <c r="F15" s="5" t="s">
        <v>77</v>
      </c>
      <c r="G15" s="5" t="s">
        <v>191</v>
      </c>
      <c r="H15" s="5"/>
    </row>
    <row r="16" spans="1:8" ht="31.5" customHeight="1" x14ac:dyDescent="0.35">
      <c r="A16" s="6" t="s">
        <v>86</v>
      </c>
      <c r="B16" s="7" t="s">
        <v>87</v>
      </c>
      <c r="C16" s="7" t="s">
        <v>88</v>
      </c>
      <c r="D16" s="7" t="s">
        <v>89</v>
      </c>
      <c r="E16" s="14">
        <v>5.0000000000000001E-3</v>
      </c>
      <c r="F16" s="7" t="s">
        <v>90</v>
      </c>
      <c r="G16" s="7" t="s">
        <v>91</v>
      </c>
      <c r="H16" s="7"/>
    </row>
    <row r="17" spans="1:8" ht="31.5" customHeight="1" x14ac:dyDescent="0.35">
      <c r="A17" s="4" t="s">
        <v>92</v>
      </c>
      <c r="B17" s="5" t="s">
        <v>93</v>
      </c>
      <c r="C17" s="5" t="s">
        <v>94</v>
      </c>
      <c r="D17" s="5" t="s">
        <v>95</v>
      </c>
      <c r="E17" s="13">
        <v>5.0000000000000001E-3</v>
      </c>
      <c r="F17" s="5" t="s">
        <v>90</v>
      </c>
      <c r="G17" s="5" t="s">
        <v>96</v>
      </c>
      <c r="H17" s="5"/>
    </row>
    <row r="18" spans="1:8" ht="31.5" customHeight="1" x14ac:dyDescent="0.35">
      <c r="A18" s="6" t="s">
        <v>97</v>
      </c>
      <c r="B18" s="7" t="s">
        <v>98</v>
      </c>
      <c r="C18" s="7" t="s">
        <v>99</v>
      </c>
      <c r="D18" s="7" t="s">
        <v>100</v>
      </c>
      <c r="E18" s="14">
        <v>7.0000000000000001E-3</v>
      </c>
      <c r="F18" s="7" t="s">
        <v>101</v>
      </c>
      <c r="G18" s="7" t="s">
        <v>102</v>
      </c>
      <c r="H18" s="7"/>
    </row>
    <row r="19" spans="1:8" ht="31.5" customHeight="1" x14ac:dyDescent="0.35">
      <c r="A19" s="4" t="s">
        <v>103</v>
      </c>
      <c r="B19" s="5" t="s">
        <v>104</v>
      </c>
      <c r="C19" s="5" t="s">
        <v>105</v>
      </c>
      <c r="D19" s="5" t="s">
        <v>106</v>
      </c>
      <c r="E19" s="13">
        <v>0.01</v>
      </c>
      <c r="F19" s="5" t="s">
        <v>107</v>
      </c>
      <c r="G19" s="5" t="s">
        <v>198</v>
      </c>
      <c r="H19" s="5"/>
    </row>
    <row r="20" spans="1:8" ht="26" customHeight="1" x14ac:dyDescent="0.35">
      <c r="A20" s="8"/>
      <c r="B20" s="4" t="s">
        <v>108</v>
      </c>
      <c r="C20" s="8"/>
      <c r="D20" s="8"/>
      <c r="E20" s="15">
        <f>SUM(E5:E19)</f>
        <v>1.0000000000000002</v>
      </c>
      <c r="F20" s="4" t="s">
        <v>109</v>
      </c>
      <c r="G20" s="16" t="s">
        <v>110</v>
      </c>
      <c r="H20"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workbookViewId="0">
      <selection activeCell="C19" sqref="C19"/>
    </sheetView>
  </sheetViews>
  <sheetFormatPr defaultRowHeight="14.5" x14ac:dyDescent="0.35"/>
  <cols>
    <col min="1" max="1" width="32" customWidth="1"/>
    <col min="2" max="2" width="30" customWidth="1"/>
    <col min="3" max="3" width="28" customWidth="1"/>
    <col min="4" max="4" width="22" customWidth="1"/>
    <col min="5" max="5" width="45" customWidth="1"/>
    <col min="6" max="6" width="37" customWidth="1"/>
  </cols>
  <sheetData>
    <row r="1" spans="1:6" ht="19.5" x14ac:dyDescent="0.45">
      <c r="A1" s="1" t="s">
        <v>205</v>
      </c>
    </row>
    <row r="2" spans="1:6" x14ac:dyDescent="0.35">
      <c r="A2" s="2" t="s">
        <v>111</v>
      </c>
    </row>
    <row r="3" spans="1:6" ht="15" thickBot="1" x14ac:dyDescent="0.4"/>
    <row r="4" spans="1:6" ht="28" customHeight="1" thickBot="1" x14ac:dyDescent="0.4">
      <c r="A4" s="3" t="s">
        <v>112</v>
      </c>
      <c r="B4" s="3" t="s">
        <v>192</v>
      </c>
      <c r="C4" s="3" t="s">
        <v>113</v>
      </c>
      <c r="D4" s="3" t="s">
        <v>193</v>
      </c>
      <c r="E4" s="3" t="s">
        <v>194</v>
      </c>
      <c r="F4" s="3" t="s">
        <v>202</v>
      </c>
    </row>
    <row r="5" spans="1:6" ht="29.5" customHeight="1" x14ac:dyDescent="0.35">
      <c r="A5" s="9" t="s">
        <v>114</v>
      </c>
      <c r="B5" s="10" t="s">
        <v>115</v>
      </c>
      <c r="C5" s="10" t="s">
        <v>116</v>
      </c>
      <c r="D5" s="4" t="s">
        <v>117</v>
      </c>
      <c r="E5" s="5" t="s">
        <v>118</v>
      </c>
      <c r="F5" s="5"/>
    </row>
    <row r="6" spans="1:6" ht="29.5" customHeight="1" x14ac:dyDescent="0.35">
      <c r="A6" s="11" t="s">
        <v>79</v>
      </c>
      <c r="B6" s="12" t="s">
        <v>119</v>
      </c>
      <c r="C6" s="12" t="s">
        <v>116</v>
      </c>
      <c r="D6" s="6" t="s">
        <v>120</v>
      </c>
      <c r="E6" s="7" t="s">
        <v>121</v>
      </c>
      <c r="F6" s="7"/>
    </row>
    <row r="7" spans="1:6" ht="29.5" customHeight="1" x14ac:dyDescent="0.35">
      <c r="A7" s="9" t="s">
        <v>122</v>
      </c>
      <c r="B7" s="10" t="s">
        <v>123</v>
      </c>
      <c r="C7" s="10" t="s">
        <v>116</v>
      </c>
      <c r="D7" s="4" t="s">
        <v>124</v>
      </c>
      <c r="E7" s="5" t="s">
        <v>125</v>
      </c>
      <c r="F7" s="5"/>
    </row>
    <row r="8" spans="1:6" ht="29.5" customHeight="1" x14ac:dyDescent="0.35">
      <c r="A8" s="11" t="s">
        <v>34</v>
      </c>
      <c r="B8" s="12" t="s">
        <v>126</v>
      </c>
      <c r="C8" s="12" t="s">
        <v>126</v>
      </c>
      <c r="D8" s="6" t="s">
        <v>127</v>
      </c>
      <c r="E8" s="7" t="s">
        <v>128</v>
      </c>
      <c r="F8" s="7"/>
    </row>
    <row r="9" spans="1:6" ht="29.5" customHeight="1" x14ac:dyDescent="0.35">
      <c r="A9" s="9" t="s">
        <v>129</v>
      </c>
      <c r="B9" s="10" t="s">
        <v>130</v>
      </c>
      <c r="C9" s="10" t="s">
        <v>116</v>
      </c>
      <c r="D9" s="4" t="s">
        <v>131</v>
      </c>
      <c r="E9" s="5" t="s">
        <v>132</v>
      </c>
      <c r="F9" s="5"/>
    </row>
    <row r="10" spans="1:6" ht="29.5" customHeight="1" x14ac:dyDescent="0.35">
      <c r="A10" s="11" t="s">
        <v>133</v>
      </c>
      <c r="B10" s="12" t="s">
        <v>134</v>
      </c>
      <c r="C10" s="12" t="s">
        <v>134</v>
      </c>
      <c r="D10" s="6" t="s">
        <v>135</v>
      </c>
      <c r="E10" s="7" t="s">
        <v>136</v>
      </c>
      <c r="F10" s="7"/>
    </row>
    <row r="11" spans="1:6" ht="29.5" customHeight="1" x14ac:dyDescent="0.35">
      <c r="A11" s="9" t="s">
        <v>49</v>
      </c>
      <c r="B11" s="10" t="s">
        <v>137</v>
      </c>
      <c r="C11" s="10" t="s">
        <v>138</v>
      </c>
      <c r="D11" s="4" t="s">
        <v>139</v>
      </c>
      <c r="E11" s="5" t="s">
        <v>140</v>
      </c>
      <c r="F11" s="5"/>
    </row>
    <row r="12" spans="1:6" ht="29.5" customHeight="1" x14ac:dyDescent="0.35">
      <c r="A12" s="11" t="s">
        <v>141</v>
      </c>
      <c r="B12" s="12" t="s">
        <v>134</v>
      </c>
      <c r="C12" s="12" t="s">
        <v>134</v>
      </c>
      <c r="D12" s="6" t="s">
        <v>142</v>
      </c>
      <c r="E12" s="7" t="s">
        <v>143</v>
      </c>
      <c r="F12" s="7"/>
    </row>
    <row r="13" spans="1:6" ht="29.5" customHeight="1" x14ac:dyDescent="0.35">
      <c r="A13" s="9" t="s">
        <v>144</v>
      </c>
      <c r="B13" s="10" t="s">
        <v>145</v>
      </c>
      <c r="C13" s="10" t="s">
        <v>146</v>
      </c>
      <c r="D13" s="4" t="s">
        <v>142</v>
      </c>
      <c r="E13" s="5" t="s">
        <v>147</v>
      </c>
      <c r="F13" s="5"/>
    </row>
    <row r="14" spans="1:6" ht="29.5" customHeight="1" x14ac:dyDescent="0.35">
      <c r="A14" s="11" t="s">
        <v>148</v>
      </c>
      <c r="B14" s="12" t="s">
        <v>149</v>
      </c>
      <c r="C14" s="12" t="s">
        <v>116</v>
      </c>
      <c r="D14" s="6" t="s">
        <v>150</v>
      </c>
      <c r="E14" s="7" t="s">
        <v>195</v>
      </c>
      <c r="F14" s="7"/>
    </row>
    <row r="15" spans="1:6" ht="29.5" customHeight="1" x14ac:dyDescent="0.35">
      <c r="A15" s="9" t="s">
        <v>151</v>
      </c>
      <c r="B15" s="10" t="s">
        <v>152</v>
      </c>
      <c r="C15" s="10" t="s">
        <v>134</v>
      </c>
      <c r="D15" s="4" t="s">
        <v>153</v>
      </c>
      <c r="E15" s="5" t="s">
        <v>154</v>
      </c>
      <c r="F15" s="5"/>
    </row>
    <row r="16" spans="1:6" ht="29.5" customHeight="1" x14ac:dyDescent="0.35">
      <c r="A16" s="11" t="s">
        <v>155</v>
      </c>
      <c r="B16" s="12" t="s">
        <v>152</v>
      </c>
      <c r="C16" s="12" t="s">
        <v>156</v>
      </c>
      <c r="D16" s="6" t="s">
        <v>120</v>
      </c>
      <c r="E16" s="7" t="s">
        <v>157</v>
      </c>
      <c r="F16" s="7"/>
    </row>
    <row r="17" spans="1:6" ht="29.5" customHeight="1" x14ac:dyDescent="0.35">
      <c r="A17" s="9" t="s">
        <v>93</v>
      </c>
      <c r="B17" s="10" t="s">
        <v>152</v>
      </c>
      <c r="C17" s="10" t="s">
        <v>134</v>
      </c>
      <c r="D17" s="4" t="s">
        <v>120</v>
      </c>
      <c r="E17" s="5" t="s">
        <v>158</v>
      </c>
      <c r="F17" s="5"/>
    </row>
    <row r="18" spans="1:6" ht="29.5" customHeight="1" x14ac:dyDescent="0.35">
      <c r="A18" s="11" t="s">
        <v>159</v>
      </c>
      <c r="B18" s="12" t="s">
        <v>160</v>
      </c>
      <c r="C18" s="12" t="s">
        <v>134</v>
      </c>
      <c r="D18" s="6" t="s">
        <v>161</v>
      </c>
      <c r="E18" s="7" t="s">
        <v>162</v>
      </c>
      <c r="F18" s="7"/>
    </row>
    <row r="19" spans="1:6" ht="46" customHeight="1" x14ac:dyDescent="0.35">
      <c r="A19" s="9" t="s">
        <v>163</v>
      </c>
      <c r="B19" s="10" t="s">
        <v>164</v>
      </c>
      <c r="C19" s="10" t="s">
        <v>197</v>
      </c>
      <c r="D19" s="4" t="s">
        <v>124</v>
      </c>
      <c r="E19" s="5" t="s">
        <v>196</v>
      </c>
      <c r="F19" s="5"/>
    </row>
    <row r="20" spans="1:6" x14ac:dyDescent="0.35">
      <c r="F20"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election activeCell="A2" sqref="A2"/>
    </sheetView>
  </sheetViews>
  <sheetFormatPr defaultRowHeight="14.5" x14ac:dyDescent="0.35"/>
  <cols>
    <col min="1" max="1" width="6" customWidth="1"/>
    <col min="2" max="2" width="30" customWidth="1"/>
    <col min="3" max="3" width="32" customWidth="1"/>
    <col min="4" max="4" width="25.08984375" customWidth="1"/>
    <col min="5" max="5" width="38" customWidth="1"/>
    <col min="6" max="6" width="27.6328125" customWidth="1"/>
  </cols>
  <sheetData>
    <row r="1" spans="1:6" ht="19.5" x14ac:dyDescent="0.45">
      <c r="A1" s="1" t="s">
        <v>204</v>
      </c>
    </row>
    <row r="2" spans="1:6" x14ac:dyDescent="0.35">
      <c r="A2" s="2" t="s">
        <v>203</v>
      </c>
    </row>
    <row r="3" spans="1:6" ht="15" thickBot="1" x14ac:dyDescent="0.4"/>
    <row r="4" spans="1:6" ht="33" customHeight="1" thickBot="1" x14ac:dyDescent="0.4">
      <c r="A4" s="3" t="s">
        <v>0</v>
      </c>
      <c r="B4" s="3" t="s">
        <v>165</v>
      </c>
      <c r="C4" s="3" t="s">
        <v>166</v>
      </c>
      <c r="D4" s="3" t="s">
        <v>167</v>
      </c>
      <c r="E4" s="3" t="s">
        <v>168</v>
      </c>
      <c r="F4" s="3" t="s">
        <v>202</v>
      </c>
    </row>
    <row r="5" spans="1:6" ht="55" customHeight="1" x14ac:dyDescent="0.35">
      <c r="A5" s="4" t="s">
        <v>5</v>
      </c>
      <c r="B5" s="5" t="s">
        <v>169</v>
      </c>
      <c r="C5" s="9" t="s">
        <v>170</v>
      </c>
      <c r="D5" s="5" t="s">
        <v>199</v>
      </c>
      <c r="E5" s="5" t="s">
        <v>171</v>
      </c>
      <c r="F5" s="5"/>
    </row>
    <row r="6" spans="1:6" ht="55" customHeight="1" x14ac:dyDescent="0.35">
      <c r="A6" s="6" t="s">
        <v>10</v>
      </c>
      <c r="B6" s="7" t="s">
        <v>172</v>
      </c>
      <c r="C6" s="11" t="s">
        <v>173</v>
      </c>
      <c r="D6" s="7" t="s">
        <v>199</v>
      </c>
      <c r="E6" s="7" t="s">
        <v>174</v>
      </c>
      <c r="F6" s="7"/>
    </row>
    <row r="7" spans="1:6" ht="55" customHeight="1" x14ac:dyDescent="0.35">
      <c r="A7" s="4" t="s">
        <v>16</v>
      </c>
      <c r="B7" s="5" t="s">
        <v>175</v>
      </c>
      <c r="C7" s="9" t="s">
        <v>176</v>
      </c>
      <c r="D7" s="5" t="s">
        <v>199</v>
      </c>
      <c r="E7" s="5" t="s">
        <v>177</v>
      </c>
      <c r="F7" s="5"/>
    </row>
    <row r="8" spans="1:6" ht="55" customHeight="1" x14ac:dyDescent="0.35">
      <c r="A8" s="6" t="s">
        <v>22</v>
      </c>
      <c r="B8" s="7" t="s">
        <v>178</v>
      </c>
      <c r="C8" s="11" t="s">
        <v>179</v>
      </c>
      <c r="D8" s="7" t="s">
        <v>199</v>
      </c>
      <c r="E8" s="7" t="s">
        <v>180</v>
      </c>
      <c r="F8" s="7"/>
    </row>
    <row r="9" spans="1:6" ht="55" customHeight="1" x14ac:dyDescent="0.35">
      <c r="A9" s="4" t="s">
        <v>53</v>
      </c>
      <c r="B9" s="5" t="s">
        <v>181</v>
      </c>
      <c r="C9" s="9" t="s">
        <v>182</v>
      </c>
      <c r="D9" s="5" t="s">
        <v>199</v>
      </c>
      <c r="E9" s="5" t="s">
        <v>183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Gap Analysis</vt:lpstr>
      <vt:lpstr>Công Thức Đề Xuất</vt:lpstr>
      <vt:lpstr>Đối Chiếu Công Thức</vt:lpstr>
      <vt:lpstr>Phương Án Nguyên Liệu VN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Ngọc Ánh Trương</cp:lastModifiedBy>
  <dcterms:created xsi:type="dcterms:W3CDTF">2026-08-26T08:55:40Z</dcterms:created>
  <dcterms:modified xsi:type="dcterms:W3CDTF">2026-09-04T01:48:56Z</dcterms:modified>
</cp:coreProperties>
</file>